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sos de prueba" sheetId="1" state="visible" r:id="rId1"/>
    <sheet name="Datos de prueba" sheetId="2" state="visible" r:id="rId2"/>
    <sheet name="Incidencias Verificación" sheetId="3" state="visible" r:id="rId3"/>
    <sheet name="Resultados Iteraciones" sheetId="4" state="visible" r:id="rId4"/>
    <sheet name="Certificado de Pruebas" sheetId="5" state="visible" r:id="rId5"/>
    <sheet name="Matriz de Validación" sheetId="6" state="visible" r:id="rId6"/>
    <sheet name="Incidencias Validación" sheetId="7" state="visible" r:id="rId7"/>
    <sheet name="Informe de Validación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888888"/>
      <sz val="8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D6E4F0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FE699"/>
        <bgColor rgb="FFFFCC9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4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9" fillId="7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4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9" fillId="7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5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4" min="1" max="1"/>
    <col width="16" customWidth="1" style="34" min="2" max="2"/>
    <col width="18" customWidth="1" style="34" min="3" max="4"/>
    <col width="9" customWidth="1" style="34" min="5" max="5"/>
    <col width="22" customWidth="1" style="34" min="6" max="6"/>
    <col width="36" customWidth="1" style="34" min="7" max="8"/>
    <col width="28" customWidth="1" style="34" min="9" max="9"/>
    <col width="12" customWidth="1" style="34" min="10" max="10"/>
    <col width="9" customWidth="1" style="34" min="11" max="11"/>
    <col width="8" customWidth="1" style="34" min="12" max="12"/>
    <col width="18" customWidth="1" style="34" min="13" max="13"/>
    <col width="12" customWidth="1" style="34" min="14" max="14"/>
    <col width="8" customWidth="1" style="34" min="15" max="15"/>
    <col width="18" customWidth="1" style="34" min="16" max="16"/>
    <col width="12" customWidth="1" style="34" min="17" max="17"/>
    <col width="8" customWidth="1" style="34" min="18" max="18"/>
    <col width="18" customWidth="1" style="34" min="19" max="19"/>
    <col width="12" customWidth="1" style="34" min="20" max="20"/>
  </cols>
  <sheetData>
    <row r="1" ht="16.15" customHeight="1" s="35">
      <c r="A1" s="36" t="inlineStr">
        <is>
          <t>Matriz de Requerimiento de Pruebas  –  Piedrazul Citas App</t>
        </is>
      </c>
    </row>
    <row r="2" ht="18" customHeight="1" s="35">
      <c r="A2" s="37" t="inlineStr">
        <is>
          <t>Elaboró:</t>
        </is>
      </c>
      <c r="B2" s="38" t="inlineStr">
        <is>
          <t>Grupo Piedrazul – Ingeniería de Sistemas</t>
        </is>
      </c>
      <c r="C2" s="37" t="inlineStr">
        <is>
          <t>Proyecto:</t>
        </is>
      </c>
      <c r="D2" s="38" t="inlineStr">
        <is>
          <t>Piedrazul – Sistema de agendamiento de citas médicas</t>
        </is>
      </c>
      <c r="E2" s="37" t="inlineStr">
        <is>
          <t>Versión:</t>
        </is>
      </c>
      <c r="F2" s="38" t="inlineStr">
        <is>
          <t>1.0</t>
        </is>
      </c>
      <c r="G2" s="37" t="inlineStr">
        <is>
          <t>Fecha:</t>
        </is>
      </c>
      <c r="H2" s="38" t="inlineStr">
        <is>
          <t>2026-05-14</t>
        </is>
      </c>
    </row>
    <row r="3" ht="15" customHeight="1" s="35">
      <c r="A3" s="39" t="inlineStr">
        <is>
          <t>Diseño</t>
        </is>
      </c>
      <c r="L3" s="40" t="inlineStr">
        <is>
          <t>1ª Iteración</t>
        </is>
      </c>
      <c r="O3" s="40" t="inlineStr">
        <is>
          <t>2ª Iteración</t>
        </is>
      </c>
      <c r="R3" s="40" t="inlineStr">
        <is>
          <t>3ª Iteración</t>
        </is>
      </c>
    </row>
    <row r="4" ht="36" customHeight="1" s="35">
      <c r="A4" s="41" t="inlineStr">
        <is>
          <t>Tipo de Caso</t>
        </is>
      </c>
      <c r="B4" s="41" t="inlineStr">
        <is>
          <t>Módulo</t>
        </is>
      </c>
      <c r="C4" s="41" t="inlineStr">
        <is>
          <t>Submódulo</t>
        </is>
      </c>
      <c r="D4" s="41" t="inlineStr">
        <is>
          <t>Componente</t>
        </is>
      </c>
      <c r="E4" s="41" t="inlineStr">
        <is>
          <t>ID del Caso</t>
        </is>
      </c>
      <c r="F4" s="41" t="inlineStr">
        <is>
          <t>Nombre del Caso</t>
        </is>
      </c>
      <c r="G4" s="41" t="inlineStr">
        <is>
          <t>Descripción de Paso</t>
        </is>
      </c>
      <c r="H4" s="41" t="inlineStr">
        <is>
          <t>Resultado Esperado</t>
        </is>
      </c>
      <c r="I4" s="41" t="inlineStr">
        <is>
          <t>Comentarios / Precondiciones</t>
        </is>
      </c>
      <c r="J4" s="41" t="inlineStr">
        <is>
          <t>Perfil de Usuario</t>
        </is>
      </c>
      <c r="K4" s="41" t="inlineStr">
        <is>
          <t>Aplica Aceptación</t>
        </is>
      </c>
      <c r="L4" s="41" t="inlineStr">
        <is>
          <t>Estado</t>
        </is>
      </c>
      <c r="M4" s="41" t="inlineStr">
        <is>
          <t>Observación</t>
        </is>
      </c>
      <c r="N4" s="41" t="inlineStr">
        <is>
          <t>Ejecuta</t>
        </is>
      </c>
      <c r="O4" s="41" t="inlineStr">
        <is>
          <t>Estado</t>
        </is>
      </c>
      <c r="P4" s="41" t="inlineStr">
        <is>
          <t>Observación</t>
        </is>
      </c>
      <c r="Q4" s="41" t="inlineStr">
        <is>
          <t>Ejecuta</t>
        </is>
      </c>
      <c r="R4" s="41" t="inlineStr">
        <is>
          <t>Estado</t>
        </is>
      </c>
      <c r="S4" s="41" t="inlineStr">
        <is>
          <t>Observación</t>
        </is>
      </c>
      <c r="T4" s="41" t="inlineStr">
        <is>
          <t>Ejecuta</t>
        </is>
      </c>
    </row>
    <row r="5" ht="51.75" customHeight="1" s="35">
      <c r="A5" s="42" t="inlineStr">
        <is>
          <t>Sistema</t>
        </is>
      </c>
      <c r="B5" s="42" t="inlineStr">
        <is>
          <t>Portal Público</t>
        </is>
      </c>
      <c r="C5" s="42" t="inlineStr">
        <is>
          <t>Información del Centro</t>
        </is>
      </c>
      <c r="D5" s="42" t="inlineStr">
        <is>
          <t>Consulta de info</t>
        </is>
      </c>
      <c r="E5" s="42" t="inlineStr">
        <is>
          <t>PUB-01</t>
        </is>
      </c>
      <c r="F5" s="42" t="inlineStr">
        <is>
          <t>Obtener información del centro médico</t>
        </is>
      </c>
      <c r="G5" s="42" t="inlineStr">
        <is>
          <t>El actor accede a GET /api/public/info sin credenciales</t>
        </is>
      </c>
      <c r="H5" s="42" t="inlineStr">
        <is>
          <t>El sistema retorna 200 OK con los campos: name, tagline, address, phone, attentionHours, about</t>
        </is>
      </c>
      <c r="I5" s="42" t="inlineStr">
        <is>
          <t>Sin precondiciones. El endpoint es público</t>
        </is>
      </c>
      <c r="J5" s="42" t="inlineStr">
        <is>
          <t>Anónimo</t>
        </is>
      </c>
      <c r="K5" s="43" t="inlineStr">
        <is>
          <t>X</t>
        </is>
      </c>
      <c r="L5" s="44" t="inlineStr">
        <is>
          <t>EA</t>
        </is>
      </c>
      <c r="M5" s="42" t="n"/>
      <c r="N5" s="42" t="inlineStr">
        <is>
          <t>Juan Felipe Ramirez</t>
        </is>
      </c>
      <c r="O5" s="44" t="inlineStr">
        <is>
          <t>PDTE</t>
        </is>
      </c>
      <c r="P5" s="42" t="n"/>
      <c r="Q5" s="42" t="n"/>
      <c r="R5" s="44" t="inlineStr">
        <is>
          <t>PDTE</t>
        </is>
      </c>
      <c r="S5" s="42" t="n"/>
      <c r="T5" s="42" t="n"/>
    </row>
    <row r="6" ht="51.75" customHeight="1" s="35">
      <c r="A6" s="45" t="inlineStr">
        <is>
          <t>Sistema</t>
        </is>
      </c>
      <c r="B6" s="45" t="inlineStr">
        <is>
          <t>Portal Público</t>
        </is>
      </c>
      <c r="C6" s="45" t="inlineStr">
        <is>
          <t>Proveedores</t>
        </is>
      </c>
      <c r="D6" s="45" t="inlineStr">
        <is>
          <t>Listado de médicos activos</t>
        </is>
      </c>
      <c r="E6" s="45" t="inlineStr">
        <is>
          <t>PUB-02</t>
        </is>
      </c>
      <c r="F6" s="45" t="inlineStr">
        <is>
          <t>Listar médicos/proveedores activos</t>
        </is>
      </c>
      <c r="G6" s="45" t="inlineStr">
        <is>
          <t>El actor realiza GET /api/public/providers</t>
        </is>
      </c>
      <c r="H6" s="45" t="inlineStr">
        <is>
          <t>El sistema retorna 200 OK con lista de proveedores activos (id, fullName, specialty, defaultSlotIntervalMinutes). Proveedores inactivos no aparecen.</t>
        </is>
      </c>
      <c r="I6" s="45" t="inlineStr">
        <is>
          <t>Debe existir al menos un proveedor activo en la BD</t>
        </is>
      </c>
      <c r="J6" s="45" t="inlineStr">
        <is>
          <t>Anónimo</t>
        </is>
      </c>
      <c r="K6" s="46" t="inlineStr">
        <is>
          <t>X</t>
        </is>
      </c>
      <c r="L6" s="44" t="inlineStr">
        <is>
          <t>EA</t>
        </is>
      </c>
      <c r="M6" s="45" t="n"/>
      <c r="N6" s="45" t="inlineStr">
        <is>
          <t>Juan Felipe Ramirez</t>
        </is>
      </c>
      <c r="O6" s="44" t="inlineStr">
        <is>
          <t>PDTE</t>
        </is>
      </c>
      <c r="P6" s="45" t="n"/>
      <c r="Q6" s="45" t="n"/>
      <c r="R6" s="44" t="inlineStr">
        <is>
          <t>PDTE</t>
        </is>
      </c>
      <c r="S6" s="45" t="n"/>
      <c r="T6" s="45" t="n"/>
    </row>
    <row r="7" ht="51.75" customHeight="1" s="35">
      <c r="A7" s="42" t="inlineStr">
        <is>
          <t>Sistema</t>
        </is>
      </c>
      <c r="B7" s="42" t="inlineStr">
        <is>
          <t>Portal Público</t>
        </is>
      </c>
      <c r="C7" s="42" t="inlineStr">
        <is>
          <t>Disponibilidad</t>
        </is>
      </c>
      <c r="D7" s="42" t="inlineStr">
        <is>
          <t>Consultar slots disponibles</t>
        </is>
      </c>
      <c r="E7" s="42" t="inlineStr">
        <is>
          <t>PUB-03</t>
        </is>
      </c>
      <c r="F7" s="42" t="inlineStr">
        <is>
          <t>Consultar disponibilidad de un médico en fecha válida</t>
        </is>
      </c>
      <c r="G7" s="42" t="inlineStr">
        <is>
          <t>El actor realiza GET /api/public/providers/{providerId}/availability?date=YYYY-MM-DD con fecha dentro de la ventana configurada</t>
        </is>
      </c>
      <c r="H7" s="42" t="inlineStr">
        <is>
          <t>El sistema retorna 200 OK con lista de slots (startTime, endTime, available). Los slots ya ocupados muestran available=false</t>
        </is>
      </c>
      <c r="I7" s="42" t="inlineStr">
        <is>
          <t>Proveedor existente con disponibilidad semanal configurada</t>
        </is>
      </c>
      <c r="J7" s="42" t="inlineStr">
        <is>
          <t>Anónimo</t>
        </is>
      </c>
      <c r="K7" s="43" t="inlineStr">
        <is>
          <t>X</t>
        </is>
      </c>
      <c r="L7" s="44" t="inlineStr">
        <is>
          <t>EA</t>
        </is>
      </c>
      <c r="M7" s="42" t="n"/>
      <c r="N7" s="42" t="inlineStr">
        <is>
          <t>Juan Felipe Ramirez</t>
        </is>
      </c>
      <c r="O7" s="44" t="inlineStr">
        <is>
          <t>PDTE</t>
        </is>
      </c>
      <c r="P7" s="42" t="n"/>
      <c r="Q7" s="42" t="n"/>
      <c r="R7" s="44" t="inlineStr">
        <is>
          <t>PDTE</t>
        </is>
      </c>
      <c r="S7" s="42" t="n"/>
      <c r="T7" s="42" t="n"/>
    </row>
    <row r="8" ht="51.75" customHeight="1" s="35">
      <c r="A8" s="45" t="inlineStr">
        <is>
          <t>Sistema</t>
        </is>
      </c>
      <c r="B8" s="45" t="inlineStr">
        <is>
          <t>Portal Público</t>
        </is>
      </c>
      <c r="C8" s="45" t="inlineStr">
        <is>
          <t>Disponibilidad</t>
        </is>
      </c>
      <c r="D8" s="45" t="inlineStr">
        <is>
          <t>Fecha fuera de ventana</t>
        </is>
      </c>
      <c r="E8" s="45" t="inlineStr">
        <is>
          <t>PUB-04</t>
        </is>
      </c>
      <c r="F8" s="45" t="inlineStr">
        <is>
          <t>Consultar disponibilidad con fecha fuera de la ventana de agendamiento</t>
        </is>
      </c>
      <c r="G8" s="45" t="inlineStr">
        <is>
          <t>El actor consulta disponibilidad con fecha superior a WeeksAheadBooking semanas</t>
        </is>
      </c>
      <c r="H8" s="45" t="inlineStr">
        <is>
          <t>El sistema retorna error de validación indicando que la fecha supera la ventana permitida</t>
        </is>
      </c>
      <c r="I8" s="45" t="inlineStr">
        <is>
          <t>WeeksAheadBooking = 6 semanas (configuración por defecto)</t>
        </is>
      </c>
      <c r="J8" s="45" t="inlineStr">
        <is>
          <t>Anónimo</t>
        </is>
      </c>
      <c r="K8" s="46" t="n"/>
      <c r="L8" s="44" t="inlineStr">
        <is>
          <t>EA</t>
        </is>
      </c>
      <c r="M8" s="45" t="n"/>
      <c r="N8" s="45" t="inlineStr">
        <is>
          <t>Juan Felipe Ramirez</t>
        </is>
      </c>
      <c r="O8" s="44" t="inlineStr">
        <is>
          <t>PDTE</t>
        </is>
      </c>
      <c r="P8" s="45" t="n"/>
      <c r="Q8" s="45" t="n"/>
      <c r="R8" s="44" t="inlineStr">
        <is>
          <t>PDTE</t>
        </is>
      </c>
      <c r="S8" s="45" t="n"/>
      <c r="T8" s="45" t="n"/>
    </row>
    <row r="9" ht="51.75" customHeight="1" s="35">
      <c r="A9" s="42" t="inlineStr">
        <is>
          <t>Sistema</t>
        </is>
      </c>
      <c r="B9" s="42" t="inlineStr">
        <is>
          <t>Portal Público</t>
        </is>
      </c>
      <c r="C9" s="42" t="inlineStr">
        <is>
          <t>Agendamiento</t>
        </is>
      </c>
      <c r="D9" s="42" t="inlineStr">
        <is>
          <t>Agendar cita como invitado</t>
        </is>
      </c>
      <c r="E9" s="42" t="inlineStr">
        <is>
          <t>PUB-05</t>
        </is>
      </c>
      <c r="F9" s="42" t="inlineStr">
        <is>
          <t>Crear cita pública sin cuenta de paciente</t>
        </is>
      </c>
      <c r="G9" s="42" t="inlineStr">
        <is>
          <t>El actor realiza POST /api/public/appointments con datos completos: providerId, appointmentDate, startTime, documentNumber, firstName, lastName, phone, gender, bookAsGuest=true</t>
        </is>
      </c>
      <c r="H9" s="42" t="inlineStr">
        <is>
          <t>El sistema retorna 200 OK con la cita creada (id, providerName, startTime, status=Scheduled, channel=Web)</t>
        </is>
      </c>
      <c r="I9" s="42" t="inlineStr">
        <is>
          <t>Slot debe estar disponible. No debe existir otra cita del paciente en el mismo slot</t>
        </is>
      </c>
      <c r="J9" s="42" t="inlineStr">
        <is>
          <t>Anónimo</t>
        </is>
      </c>
      <c r="K9" s="43" t="inlineStr">
        <is>
          <t>X</t>
        </is>
      </c>
      <c r="L9" s="44" t="inlineStr">
        <is>
          <t>EA</t>
        </is>
      </c>
      <c r="M9" s="42" t="n"/>
      <c r="N9" s="42" t="inlineStr">
        <is>
          <t>Juan Felipe Ramirez</t>
        </is>
      </c>
      <c r="O9" s="44" t="inlineStr">
        <is>
          <t>PDTE</t>
        </is>
      </c>
      <c r="P9" s="42" t="n"/>
      <c r="Q9" s="42" t="n"/>
      <c r="R9" s="44" t="inlineStr">
        <is>
          <t>PDTE</t>
        </is>
      </c>
      <c r="S9" s="42" t="n"/>
      <c r="T9" s="42" t="n"/>
    </row>
    <row r="10" ht="51.75" customHeight="1" s="35">
      <c r="A10" s="45" t="inlineStr">
        <is>
          <t>Sistema</t>
        </is>
      </c>
      <c r="B10" s="45" t="inlineStr">
        <is>
          <t>Portal Público</t>
        </is>
      </c>
      <c r="C10" s="45" t="inlineStr">
        <is>
          <t>Agendamiento</t>
        </is>
      </c>
      <c r="D10" s="45" t="inlineStr">
        <is>
          <t>Agendar cita en slot ocupado</t>
        </is>
      </c>
      <c r="E10" s="45" t="inlineStr">
        <is>
          <t>PUB-06</t>
        </is>
      </c>
      <c r="F10" s="45" t="inlineStr">
        <is>
          <t>Intentar crear cita en un slot ya reservado</t>
        </is>
      </c>
      <c r="G10" s="45" t="inlineStr">
        <is>
          <t>El actor intenta agendar en un slot cuyo available=false</t>
        </is>
      </c>
      <c r="H10" s="45" t="inlineStr">
        <is>
          <t>El sistema retorna 409 Conflict indicando que el horario no está disponible</t>
        </is>
      </c>
      <c r="I10" s="45" t="inlineStr">
        <is>
          <t>Precondición: existe una cita programada en ese slot</t>
        </is>
      </c>
      <c r="J10" s="45" t="inlineStr">
        <is>
          <t>Anónimo</t>
        </is>
      </c>
      <c r="K10" s="46" t="n"/>
      <c r="L10" s="44" t="inlineStr">
        <is>
          <t>ENA</t>
        </is>
      </c>
      <c r="M10" s="45" t="inlineStr">
        <is>
          <t>Reserva en slot ocupado responde 400 (esperado 409).</t>
        </is>
      </c>
      <c r="N10" s="45" t="inlineStr">
        <is>
          <t>Juan Felipe Ramirez</t>
        </is>
      </c>
      <c r="O10" s="44" t="inlineStr">
        <is>
          <t>PDTE</t>
        </is>
      </c>
      <c r="P10" s="45" t="n"/>
      <c r="Q10" s="45" t="n"/>
      <c r="R10" s="44" t="inlineStr">
        <is>
          <t>PDTE</t>
        </is>
      </c>
      <c r="S10" s="45" t="n"/>
      <c r="T10" s="45" t="n"/>
    </row>
    <row r="11" ht="51.75" customHeight="1" s="35">
      <c r="A11" s="42" t="inlineStr">
        <is>
          <t>Sistema</t>
        </is>
      </c>
      <c r="B11" s="42" t="inlineStr">
        <is>
          <t>Portal Público</t>
        </is>
      </c>
      <c r="C11" s="42" t="inlineStr">
        <is>
          <t>Agendamiento</t>
        </is>
      </c>
      <c r="D11" s="42" t="inlineStr">
        <is>
          <t>Validación de campos obligatorios</t>
        </is>
      </c>
      <c r="E11" s="42" t="inlineStr">
        <is>
          <t>PUB-07</t>
        </is>
      </c>
      <c r="F11" s="42" t="inlineStr">
        <is>
          <t>Crear cita con campos requeridos vacíos (documentNumber vacío)</t>
        </is>
      </c>
      <c r="G11" s="42" t="inlineStr">
        <is>
          <t>POST /api/public/appointments sin documentNumber</t>
        </is>
      </c>
      <c r="H11" s="42" t="inlineStr">
        <is>
          <t>El sistema retorna 422 Unprocessable Entity con listado de errores de validación</t>
        </is>
      </c>
      <c r="I11" s="42" t="inlineStr">
        <is>
          <t>Sin precondiciones especiales</t>
        </is>
      </c>
      <c r="J11" s="42" t="inlineStr">
        <is>
          <t>Anónimo</t>
        </is>
      </c>
      <c r="K11" s="43" t="n"/>
      <c r="L11" s="44" t="inlineStr">
        <is>
          <t>ENA</t>
        </is>
      </c>
      <c r="M11" s="42" t="inlineStr">
        <is>
          <t>Validacion responde 400 (esperado 422).</t>
        </is>
      </c>
      <c r="N11" s="42" t="inlineStr">
        <is>
          <t>Juan Felipe Ramirez</t>
        </is>
      </c>
      <c r="O11" s="44" t="inlineStr">
        <is>
          <t>PDTE</t>
        </is>
      </c>
      <c r="P11" s="42" t="n"/>
      <c r="Q11" s="42" t="n"/>
      <c r="R11" s="44" t="inlineStr">
        <is>
          <t>PDTE</t>
        </is>
      </c>
      <c r="S11" s="42" t="n"/>
      <c r="T11" s="42" t="n"/>
    </row>
    <row r="12" ht="51.75" customHeight="1" s="35">
      <c r="A12" s="45" t="inlineStr">
        <is>
          <t>Sistema</t>
        </is>
      </c>
      <c r="B12" s="45" t="inlineStr">
        <is>
          <t>Portal Público</t>
        </is>
      </c>
      <c r="C12" s="45" t="inlineStr">
        <is>
          <t>Búsqueda Pública</t>
        </is>
      </c>
      <c r="D12" s="45" t="inlineStr">
        <is>
          <t>Lookup de paciente existente</t>
        </is>
      </c>
      <c r="E12" s="45" t="inlineStr">
        <is>
          <t>PUB-08</t>
        </is>
      </c>
      <c r="F12" s="45" t="inlineStr">
        <is>
          <t>Buscar paciente por número de documento (existe)</t>
        </is>
      </c>
      <c r="G12" s="45" t="inlineStr">
        <is>
          <t>GET /api/public/patients/lookup?document=1000000001</t>
        </is>
      </c>
      <c r="H12" s="45" t="inlineStr">
        <is>
          <t>El sistema retorna exists=true con firstName, lastName, gender, BirthYear y datos enmascarados (maskedPhone, maskedEmail). NO retorna datos completos.</t>
        </is>
      </c>
      <c r="I12" s="45" t="inlineStr">
        <is>
          <t>Paciente con documento 1000000001 debe existir en la BD</t>
        </is>
      </c>
      <c r="J12" s="45" t="inlineStr">
        <is>
          <t>Anónimo</t>
        </is>
      </c>
      <c r="K12" s="46" t="inlineStr">
        <is>
          <t>X</t>
        </is>
      </c>
      <c r="L12" s="44" t="inlineStr">
        <is>
          <t>EA</t>
        </is>
      </c>
      <c r="M12" s="45" t="n"/>
      <c r="N12" s="45" t="inlineStr">
        <is>
          <t>Juan Felipe Ramirez</t>
        </is>
      </c>
      <c r="O12" s="44" t="inlineStr">
        <is>
          <t>PDTE</t>
        </is>
      </c>
      <c r="P12" s="45" t="n"/>
      <c r="Q12" s="45" t="n"/>
      <c r="R12" s="44" t="inlineStr">
        <is>
          <t>PDTE</t>
        </is>
      </c>
      <c r="S12" s="45" t="n"/>
      <c r="T12" s="45" t="n"/>
    </row>
    <row r="13" ht="51.75" customHeight="1" s="35">
      <c r="A13" s="42" t="inlineStr">
        <is>
          <t>Sistema</t>
        </is>
      </c>
      <c r="B13" s="42" t="inlineStr">
        <is>
          <t>Portal Público</t>
        </is>
      </c>
      <c r="C13" s="42" t="inlineStr">
        <is>
          <t>Búsqueda Pública</t>
        </is>
      </c>
      <c r="D13" s="42" t="inlineStr">
        <is>
          <t>Lookup de paciente inexistente</t>
        </is>
      </c>
      <c r="E13" s="42" t="inlineStr">
        <is>
          <t>PUB-09</t>
        </is>
      </c>
      <c r="F13" s="42" t="inlineStr">
        <is>
          <t>Buscar paciente con documento que no existe</t>
        </is>
      </c>
      <c r="G13" s="42" t="inlineStr">
        <is>
          <t>GET /api/public/patients/lookup?document=9999999999</t>
        </is>
      </c>
      <c r="H13" s="42" t="inlineStr">
        <is>
          <t>El sistema retorna 200 OK con exists=false y todos los campos nulos</t>
        </is>
      </c>
      <c r="I13" s="42" t="inlineStr">
        <is>
          <t>Sin precondiciones</t>
        </is>
      </c>
      <c r="J13" s="42" t="inlineStr">
        <is>
          <t>Anónimo</t>
        </is>
      </c>
      <c r="K13" s="43" t="n"/>
      <c r="L13" s="44" t="inlineStr">
        <is>
          <t>EA</t>
        </is>
      </c>
      <c r="M13" s="42" t="n"/>
      <c r="N13" s="42" t="inlineStr">
        <is>
          <t>Juan Felipe Ramirez</t>
        </is>
      </c>
      <c r="O13" s="44" t="inlineStr">
        <is>
          <t>PDTE</t>
        </is>
      </c>
      <c r="P13" s="42" t="n"/>
      <c r="Q13" s="42" t="n"/>
      <c r="R13" s="44" t="inlineStr">
        <is>
          <t>PDTE</t>
        </is>
      </c>
      <c r="S13" s="42" t="n"/>
      <c r="T13" s="42" t="n"/>
    </row>
    <row r="14" ht="51.75" customHeight="1" s="35">
      <c r="A14" s="45" t="inlineStr">
        <is>
          <t>Sistema</t>
        </is>
      </c>
      <c r="B14" s="45" t="inlineStr">
        <is>
          <t>Autenticación</t>
        </is>
      </c>
      <c r="C14" s="45" t="inlineStr">
        <is>
          <t>Registro</t>
        </is>
      </c>
      <c r="D14" s="45" t="inlineStr">
        <is>
          <t>Registro de nueva cuenta paciente</t>
        </is>
      </c>
      <c r="E14" s="45" t="inlineStr">
        <is>
          <t>AUT-01</t>
        </is>
      </c>
      <c r="F14" s="45" t="inlineStr">
        <is>
          <t>Registrar nueva cuenta de paciente con datos válidos</t>
        </is>
      </c>
      <c r="G14" s="45" t="inlineStr">
        <is>
          <t>El actor accede a /crear-cuenta, ingresa documentNumber, firstName, lastName, password válida y confirma registro</t>
        </is>
      </c>
      <c r="H14" s="45" t="inlineStr">
        <is>
          <t>Se crea la cuenta. El sistema redirige al portal de paciente con sesión activa. La contraseña se almacena con hash (no en texto plano).</t>
        </is>
      </c>
      <c r="I14" s="45" t="inlineStr">
        <is>
          <t>El documentNumber no debe existir previamente en la BD local</t>
        </is>
      </c>
      <c r="J14" s="45" t="inlineStr">
        <is>
          <t>Paciente</t>
        </is>
      </c>
      <c r="K14" s="46" t="inlineStr">
        <is>
          <t>X</t>
        </is>
      </c>
      <c r="L14" s="44" t="inlineStr">
        <is>
          <t>EA</t>
        </is>
      </c>
      <c r="M14" s="45" t="inlineStr">
        <is>
          <t>Cuenta creada con documento 1000000007.</t>
        </is>
      </c>
      <c r="N14" s="45" t="inlineStr">
        <is>
          <t>Juan Felipe Ramirez</t>
        </is>
      </c>
      <c r="O14" s="44" t="inlineStr">
        <is>
          <t>PDTE</t>
        </is>
      </c>
      <c r="P14" s="45" t="n"/>
      <c r="Q14" s="45" t="n"/>
      <c r="R14" s="44" t="inlineStr">
        <is>
          <t>PDTE</t>
        </is>
      </c>
      <c r="S14" s="45" t="n"/>
      <c r="T14" s="45" t="n"/>
    </row>
    <row r="15" ht="51.75" customHeight="1" s="35">
      <c r="A15" s="42" t="inlineStr">
        <is>
          <t>Sistema</t>
        </is>
      </c>
      <c r="B15" s="42" t="inlineStr">
        <is>
          <t>Autenticación</t>
        </is>
      </c>
      <c r="C15" s="42" t="inlineStr">
        <is>
          <t>Registro</t>
        </is>
      </c>
      <c r="D15" s="42" t="inlineStr">
        <is>
          <t>Registro con cédula duplicada</t>
        </is>
      </c>
      <c r="E15" s="42" t="inlineStr">
        <is>
          <t>AUT-02</t>
        </is>
      </c>
      <c r="F15" s="42" t="inlineStr">
        <is>
          <t>Intentar registrar cuenta con cédula ya existente</t>
        </is>
      </c>
      <c r="G15" s="42" t="inlineStr">
        <is>
          <t>El actor intenta registrarse con documentNumber ya registrado</t>
        </is>
      </c>
      <c r="H15" s="42" t="inlineStr">
        <is>
          <t>El sistema muestra mensaje: 'Ya existe una cuenta con esa cédula. Inicia sesión para continuar.'</t>
        </is>
      </c>
      <c r="I15" s="42" t="inlineStr">
        <is>
          <t>Precondición: existe cuenta con ese documentNumber</t>
        </is>
      </c>
      <c r="J15" s="42" t="inlineStr">
        <is>
          <t>Paciente</t>
        </is>
      </c>
      <c r="K15" s="43" t="n"/>
      <c r="L15" s="44" t="inlineStr">
        <is>
          <t>EA</t>
        </is>
      </c>
      <c r="M15" s="42" t="inlineStr">
        <is>
          <t>Mensaje de duplicado mostrado.</t>
        </is>
      </c>
      <c r="N15" s="42" t="inlineStr">
        <is>
          <t>Juan Felipe Ramirez</t>
        </is>
      </c>
      <c r="O15" s="44" t="inlineStr">
        <is>
          <t>PDTE</t>
        </is>
      </c>
      <c r="P15" s="42" t="n"/>
      <c r="Q15" s="42" t="n"/>
      <c r="R15" s="44" t="inlineStr">
        <is>
          <t>PDTE</t>
        </is>
      </c>
      <c r="S15" s="42" t="n"/>
      <c r="T15" s="42" t="n"/>
    </row>
    <row r="16" ht="51.75" customHeight="1" s="35">
      <c r="A16" s="45" t="inlineStr">
        <is>
          <t>Sistema</t>
        </is>
      </c>
      <c r="B16" s="45" t="inlineStr">
        <is>
          <t>Autenticación</t>
        </is>
      </c>
      <c r="C16" s="45" t="inlineStr">
        <is>
          <t>Login Paciente</t>
        </is>
      </c>
      <c r="D16" s="45" t="inlineStr">
        <is>
          <t>Inicio de sesión con credenciales correctas</t>
        </is>
      </c>
      <c r="E16" s="45" t="inlineStr">
        <is>
          <t>AUT-03</t>
        </is>
      </c>
      <c r="F16" s="45" t="inlineStr">
        <is>
          <t>Iniciar sesión en portal paciente con cédula y contraseña válidas</t>
        </is>
      </c>
      <c r="G16" s="45" t="inlineStr">
        <is>
          <t>El actor ingresa a /iniciar-sesion, digita documentNumber y contraseña correctos</t>
        </is>
      </c>
      <c r="H16" s="45" t="inlineStr">
        <is>
          <t>El sistema crea sesión y redirige al portal /portal/paciente. La sesión persiste en localStorage.</t>
        </is>
      </c>
      <c r="I16" s="45" t="inlineStr">
        <is>
          <t>Cuenta de paciente activa existente</t>
        </is>
      </c>
      <c r="J16" s="45" t="inlineStr">
        <is>
          <t>Paciente</t>
        </is>
      </c>
      <c r="K16" s="46" t="inlineStr">
        <is>
          <t>X</t>
        </is>
      </c>
      <c r="L16" s="44" t="inlineStr">
        <is>
          <t>EA</t>
        </is>
      </c>
      <c r="M16" s="45" t="inlineStr">
        <is>
          <t>Redirige a /portal/paciente con sesion activa.</t>
        </is>
      </c>
      <c r="N16" s="45" t="inlineStr">
        <is>
          <t>Juan Felipe Ramirez</t>
        </is>
      </c>
      <c r="O16" s="44" t="inlineStr">
        <is>
          <t>PDTE</t>
        </is>
      </c>
      <c r="P16" s="45" t="n"/>
      <c r="Q16" s="45" t="n"/>
      <c r="R16" s="44" t="inlineStr">
        <is>
          <t>PDTE</t>
        </is>
      </c>
      <c r="S16" s="45" t="n"/>
      <c r="T16" s="45" t="n"/>
    </row>
    <row r="17" ht="51.75" customHeight="1" s="35">
      <c r="A17" s="42" t="inlineStr">
        <is>
          <t>Sistema</t>
        </is>
      </c>
      <c r="B17" s="42" t="inlineStr">
        <is>
          <t>Autenticación</t>
        </is>
      </c>
      <c r="C17" s="42" t="inlineStr">
        <is>
          <t>Login Paciente</t>
        </is>
      </c>
      <c r="D17" s="42" t="inlineStr">
        <is>
          <t>Inicio de sesión con contraseña incorrecta</t>
        </is>
      </c>
      <c r="E17" s="42" t="inlineStr">
        <is>
          <t>AUT-04</t>
        </is>
      </c>
      <c r="F17" s="42" t="inlineStr">
        <is>
          <t>Intentar iniciar sesión con contraseña errónea</t>
        </is>
      </c>
      <c r="G17" s="42" t="inlineStr">
        <is>
          <t>El actor ingresa cédula válida pero contraseña incorrecta</t>
        </is>
      </c>
      <c r="H17" s="42" t="inlineStr">
        <is>
          <t>El sistema muestra: 'Cédula o contraseña incorrectas. Verifica tus datos e inténtalo de nuevo.'</t>
        </is>
      </c>
      <c r="I17" s="42" t="inlineStr">
        <is>
          <t>Cuenta de paciente activa existente</t>
        </is>
      </c>
      <c r="J17" s="42" t="inlineStr">
        <is>
          <t>Paciente</t>
        </is>
      </c>
      <c r="K17" s="43" t="n"/>
      <c r="L17" s="44" t="inlineStr">
        <is>
          <t>EA</t>
        </is>
      </c>
      <c r="M17" s="42" t="inlineStr">
        <is>
          <t>Mensaje de credenciales incorrectas mostrado.</t>
        </is>
      </c>
      <c r="N17" s="42" t="inlineStr">
        <is>
          <t>Juan Felipe Ramirez</t>
        </is>
      </c>
      <c r="O17" s="44" t="inlineStr">
        <is>
          <t>PDTE</t>
        </is>
      </c>
      <c r="P17" s="42" t="n"/>
      <c r="Q17" s="42" t="n"/>
      <c r="R17" s="44" t="inlineStr">
        <is>
          <t>PDTE</t>
        </is>
      </c>
      <c r="S17" s="42" t="n"/>
      <c r="T17" s="42" t="n"/>
    </row>
    <row r="18" ht="51.75" customHeight="1" s="35">
      <c r="A18" s="45" t="inlineStr">
        <is>
          <t>Sistema</t>
        </is>
      </c>
      <c r="B18" s="45" t="inlineStr">
        <is>
          <t>Autenticación</t>
        </is>
      </c>
      <c r="C18" s="45" t="inlineStr">
        <is>
          <t>Login Interno</t>
        </is>
      </c>
      <c r="D18" s="45" t="inlineStr">
        <is>
          <t>Inicio de sesión de personal interno</t>
        </is>
      </c>
      <c r="E18" s="45" t="inlineStr">
        <is>
          <t>AUT-05</t>
        </is>
      </c>
      <c r="F18" s="45" t="inlineStr">
        <is>
          <t>Iniciar sesión en portal interno con correo y contraseña válidos</t>
        </is>
      </c>
      <c r="G18" s="45" t="inlineStr">
        <is>
          <t>El actor accede a /portal/interno/login, ingresa email y contraseña de cuenta interna (Admin/Scheduler/Doctor)</t>
        </is>
      </c>
      <c r="H18" s="45" t="inlineStr">
        <is>
          <t>El sistema crea sesión interna y redirige a /portal/interno/citas con el rol correspondiente</t>
        </is>
      </c>
      <c r="I18" s="45" t="inlineStr">
        <is>
          <t>Cuenta interna activa. Credenciales demo: admin@piedrazul.local / Admin123*</t>
        </is>
      </c>
      <c r="J18" s="45" t="inlineStr">
        <is>
          <t>Admin</t>
        </is>
      </c>
      <c r="K18" s="46" t="inlineStr">
        <is>
          <t>X</t>
        </is>
      </c>
      <c r="L18" s="44" t="inlineStr">
        <is>
          <t>EA</t>
        </is>
      </c>
      <c r="M18" s="45" t="inlineStr">
        <is>
          <t>Redirige a /portal/interno/citas con rol Admin.</t>
        </is>
      </c>
      <c r="N18" s="45" t="inlineStr">
        <is>
          <t>Juan Felipe Ramirez</t>
        </is>
      </c>
      <c r="O18" s="44" t="inlineStr">
        <is>
          <t>PDTE</t>
        </is>
      </c>
      <c r="P18" s="45" t="n"/>
      <c r="Q18" s="45" t="n"/>
      <c r="R18" s="44" t="inlineStr">
        <is>
          <t>PDTE</t>
        </is>
      </c>
      <c r="S18" s="45" t="n"/>
      <c r="T18" s="45" t="n"/>
    </row>
    <row r="19" ht="51.75" customHeight="1" s="35">
      <c r="A19" s="42" t="inlineStr">
        <is>
          <t>Sistema</t>
        </is>
      </c>
      <c r="B19" s="42" t="inlineStr">
        <is>
          <t>Autenticación</t>
        </is>
      </c>
      <c r="C19" s="42" t="inlineStr">
        <is>
          <t>Recuperación</t>
        </is>
      </c>
      <c r="D19" s="42" t="inlineStr">
        <is>
          <t>Solicitar recuperación de contraseña</t>
        </is>
      </c>
      <c r="E19" s="42" t="inlineStr">
        <is>
          <t>AUT-06</t>
        </is>
      </c>
      <c r="F19" s="42" t="inlineStr">
        <is>
          <t>Solicitar código de recuperación para cuenta existente</t>
        </is>
      </c>
      <c r="G19" s="42" t="inlineStr">
        <is>
          <t>El actor va a /olvide-mi-contrasena e ingresa su documentNumber</t>
        </is>
      </c>
      <c r="H19" s="42" t="inlineStr">
        <is>
          <t>El sistema genera y muestra un código de 6 dígitos con TTL de 15 minutos. El código queda almacenado en localStorage.</t>
        </is>
      </c>
      <c r="I19" s="42" t="inlineStr">
        <is>
          <t>Cuenta de paciente activa existente</t>
        </is>
      </c>
      <c r="J19" s="42" t="inlineStr">
        <is>
          <t>Paciente</t>
        </is>
      </c>
      <c r="K19" s="43" t="inlineStr">
        <is>
          <t>X</t>
        </is>
      </c>
      <c r="L19" s="44" t="inlineStr">
        <is>
          <t>EA</t>
        </is>
      </c>
      <c r="M19" s="42" t="inlineStr">
        <is>
          <t>Codigo temporal mostrado en UI (modo demo).</t>
        </is>
      </c>
      <c r="N19" s="42" t="inlineStr">
        <is>
          <t>Juan Felipe Ramirez</t>
        </is>
      </c>
      <c r="O19" s="44" t="inlineStr">
        <is>
          <t>PDTE</t>
        </is>
      </c>
      <c r="P19" s="42" t="n"/>
      <c r="Q19" s="42" t="n"/>
      <c r="R19" s="44" t="inlineStr">
        <is>
          <t>PDTE</t>
        </is>
      </c>
      <c r="S19" s="42" t="n"/>
      <c r="T19" s="42" t="n"/>
    </row>
    <row r="20" ht="51.75" customHeight="1" s="35">
      <c r="A20" s="45" t="inlineStr">
        <is>
          <t>Sistema</t>
        </is>
      </c>
      <c r="B20" s="45" t="inlineStr">
        <is>
          <t>Autenticación</t>
        </is>
      </c>
      <c r="C20" s="45" t="inlineStr">
        <is>
          <t>Recuperación</t>
        </is>
      </c>
      <c r="D20" s="45" t="inlineStr">
        <is>
          <t>Restablecer contraseña con código válido</t>
        </is>
      </c>
      <c r="E20" s="45" t="inlineStr">
        <is>
          <t>AUT-07</t>
        </is>
      </c>
      <c r="F20" s="45" t="inlineStr">
        <is>
          <t>Restablecer contraseña usando el código recibido</t>
        </is>
      </c>
      <c r="G20" s="45" t="inlineStr">
        <is>
          <t>El actor va a /restablecer-contrasena, ingresa el identificador, el código y la nueva contraseña</t>
        </is>
      </c>
      <c r="H20" s="45" t="inlineStr">
        <is>
          <t>El sistema actualiza la contraseña (re-hasheada). El código es invalidado. El actor puede iniciar sesión con la nueva contraseña.</t>
        </is>
      </c>
      <c r="I20" s="45" t="inlineStr">
        <is>
          <t>Precondición: código activo generado en AUT-06</t>
        </is>
      </c>
      <c r="J20" s="45" t="inlineStr">
        <is>
          <t>Paciente</t>
        </is>
      </c>
      <c r="K20" s="46" t="inlineStr">
        <is>
          <t>X</t>
        </is>
      </c>
      <c r="L20" s="44" t="inlineStr">
        <is>
          <t>EA</t>
        </is>
      </c>
      <c r="M20" s="45" t="inlineStr">
        <is>
          <t>Contrasena actualizada a Reset1234!; login OK.</t>
        </is>
      </c>
      <c r="N20" s="45" t="inlineStr">
        <is>
          <t>Juan Felipe Ramirez</t>
        </is>
      </c>
      <c r="O20" s="44" t="inlineStr">
        <is>
          <t>PDTE</t>
        </is>
      </c>
      <c r="P20" s="45" t="n"/>
      <c r="Q20" s="45" t="n"/>
      <c r="R20" s="44" t="inlineStr">
        <is>
          <t>PDTE</t>
        </is>
      </c>
      <c r="S20" s="45" t="n"/>
      <c r="T20" s="45" t="n"/>
    </row>
    <row r="21" ht="51.75" customHeight="1" s="35">
      <c r="A21" s="42" t="inlineStr">
        <is>
          <t>Sistema</t>
        </is>
      </c>
      <c r="B21" s="42" t="inlineStr">
        <is>
          <t>Autenticación</t>
        </is>
      </c>
      <c r="C21" s="42" t="inlineStr">
        <is>
          <t>Recuperación</t>
        </is>
      </c>
      <c r="D21" s="42" t="inlineStr">
        <is>
          <t>Restablecer con código expirado o inválido</t>
        </is>
      </c>
      <c r="E21" s="42" t="inlineStr">
        <is>
          <t>AUT-08</t>
        </is>
      </c>
      <c r="F21" s="42" t="inlineStr">
        <is>
          <t>Intentar restablecer contraseña con código incorrecto</t>
        </is>
      </c>
      <c r="G21" s="42" t="inlineStr">
        <is>
          <t>El actor ingresa un código que no coincide o ha expirado</t>
        </is>
      </c>
      <c r="H21" s="42" t="inlineStr">
        <is>
          <t>El sistema muestra: 'El código de recuperación no es válido o ya expiró.'</t>
        </is>
      </c>
      <c r="I21" s="42" t="inlineStr">
        <is>
          <t>TTL del código: 15 minutos</t>
        </is>
      </c>
      <c r="J21" s="42" t="inlineStr">
        <is>
          <t>Paciente</t>
        </is>
      </c>
      <c r="K21" s="43" t="n"/>
      <c r="L21" s="44" t="inlineStr">
        <is>
          <t>EA</t>
        </is>
      </c>
      <c r="M21" s="42" t="inlineStr">
        <is>
          <t>Mensaje de codigo invalido mostrado.</t>
        </is>
      </c>
      <c r="N21" s="42" t="inlineStr">
        <is>
          <t>Juan Felipe Ramirez</t>
        </is>
      </c>
      <c r="O21" s="44" t="inlineStr">
        <is>
          <t>PDTE</t>
        </is>
      </c>
      <c r="P21" s="42" t="n"/>
      <c r="Q21" s="42" t="n"/>
      <c r="R21" s="44" t="inlineStr">
        <is>
          <t>PDTE</t>
        </is>
      </c>
      <c r="S21" s="42" t="n"/>
      <c r="T21" s="42" t="n"/>
    </row>
    <row r="22" ht="51.75" customHeight="1" s="35">
      <c r="A22" s="45" t="inlineStr">
        <is>
          <t>Sistema</t>
        </is>
      </c>
      <c r="B22" s="45" t="inlineStr">
        <is>
          <t>Portal Paciente</t>
        </is>
      </c>
      <c r="C22" s="45" t="inlineStr">
        <is>
          <t>Perfil</t>
        </is>
      </c>
      <c r="D22" s="45" t="inlineStr">
        <is>
          <t>Ver perfil del paciente autenticado</t>
        </is>
      </c>
      <c r="E22" s="45" t="inlineStr">
        <is>
          <t>PAC-01</t>
        </is>
      </c>
      <c r="F22" s="45" t="inlineStr">
        <is>
          <t>Consultar los datos de perfil del paciente autenticado</t>
        </is>
      </c>
      <c r="G22" s="45" t="inlineStr">
        <is>
          <t>El actor autenticado como Paciente accede a GET /api/patient/profile</t>
        </is>
      </c>
      <c r="H22" s="45" t="inlineStr">
        <is>
          <t>El sistema retorna 200 OK con documentNumber, firstName, lastName, phone, gender, birthDate, email, isGuest</t>
        </is>
      </c>
      <c r="I22" s="45" t="inlineStr">
        <is>
          <t>Sesión de paciente activa</t>
        </is>
      </c>
      <c r="J22" s="45" t="inlineStr">
        <is>
          <t>Paciente</t>
        </is>
      </c>
      <c r="K22" s="46" t="inlineStr">
        <is>
          <t>X</t>
        </is>
      </c>
      <c r="L22" s="44" t="inlineStr">
        <is>
          <t>EA</t>
        </is>
      </c>
      <c r="M22" s="45" t="n"/>
      <c r="N22" s="45" t="inlineStr">
        <is>
          <t>Juan Felipe Ramirez</t>
        </is>
      </c>
      <c r="O22" s="44" t="inlineStr">
        <is>
          <t>PDTE</t>
        </is>
      </c>
      <c r="P22" s="45" t="n"/>
      <c r="Q22" s="45" t="n"/>
      <c r="R22" s="44" t="inlineStr">
        <is>
          <t>PDTE</t>
        </is>
      </c>
      <c r="S22" s="45" t="n"/>
      <c r="T22" s="45" t="n"/>
    </row>
    <row r="23" ht="51.75" customHeight="1" s="35">
      <c r="A23" s="42" t="inlineStr">
        <is>
          <t>Sistema</t>
        </is>
      </c>
      <c r="B23" s="42" t="inlineStr">
        <is>
          <t>Portal Paciente</t>
        </is>
      </c>
      <c r="C23" s="42" t="inlineStr">
        <is>
          <t>Perfil</t>
        </is>
      </c>
      <c r="D23" s="42" t="inlineStr">
        <is>
          <t>Actualizar datos del perfil</t>
        </is>
      </c>
      <c r="E23" s="42" t="inlineStr">
        <is>
          <t>PAC-02</t>
        </is>
      </c>
      <c r="F23" s="42" t="inlineStr">
        <is>
          <t>Actualizar teléfono y fecha de nacimiento del perfil</t>
        </is>
      </c>
      <c r="G23" s="42" t="inlineStr">
        <is>
          <t>El actor autenticado realiza PUT /api/patient/profile con los datos modificados</t>
        </is>
      </c>
      <c r="H23" s="42" t="inlineStr">
        <is>
          <t>El sistema retorna 200 OK con los datos actualizados. La información persiste en BD.</t>
        </is>
      </c>
      <c r="I23" s="42" t="inlineStr">
        <is>
          <t>Sesión de paciente activa. Perfil previamente creado</t>
        </is>
      </c>
      <c r="J23" s="42" t="inlineStr">
        <is>
          <t>Paciente</t>
        </is>
      </c>
      <c r="K23" s="43" t="inlineStr">
        <is>
          <t>X</t>
        </is>
      </c>
      <c r="L23" s="44" t="inlineStr">
        <is>
          <t>EA</t>
        </is>
      </c>
      <c r="M23" s="42" t="n"/>
      <c r="N23" s="42" t="inlineStr">
        <is>
          <t>Juan Felipe Ramirez</t>
        </is>
      </c>
      <c r="O23" s="44" t="inlineStr">
        <is>
          <t>PDTE</t>
        </is>
      </c>
      <c r="P23" s="42" t="n"/>
      <c r="Q23" s="42" t="n"/>
      <c r="R23" s="44" t="inlineStr">
        <is>
          <t>PDTE</t>
        </is>
      </c>
      <c r="S23" s="42" t="n"/>
      <c r="T23" s="42" t="n"/>
    </row>
    <row r="24" ht="51.75" customHeight="1" s="35">
      <c r="A24" s="45" t="inlineStr">
        <is>
          <t>Sistema</t>
        </is>
      </c>
      <c r="B24" s="45" t="inlineStr">
        <is>
          <t>Portal Paciente</t>
        </is>
      </c>
      <c r="C24" s="45" t="inlineStr">
        <is>
          <t>Mis Citas</t>
        </is>
      </c>
      <c r="D24" s="45" t="inlineStr">
        <is>
          <t>Listar citas del paciente</t>
        </is>
      </c>
      <c r="E24" s="45" t="inlineStr">
        <is>
          <t>PAC-03</t>
        </is>
      </c>
      <c r="F24" s="45" t="inlineStr">
        <is>
          <t>Obtener todas las citas del paciente autenticado</t>
        </is>
      </c>
      <c r="G24" s="45" t="inlineStr">
        <is>
          <t>El actor autenticado realiza GET /api/patient/appointments</t>
        </is>
      </c>
      <c r="H24" s="45" t="inlineStr">
        <is>
          <t>El sistema retorna 200 OK con lista de citas del paciente (id, providerName, specialty, appointmentDate, startTime, status, channel)</t>
        </is>
      </c>
      <c r="I24" s="45" t="inlineStr">
        <is>
          <t>Paciente con al menos una cita programada</t>
        </is>
      </c>
      <c r="J24" s="45" t="inlineStr">
        <is>
          <t>Paciente</t>
        </is>
      </c>
      <c r="K24" s="46" t="inlineStr">
        <is>
          <t>X</t>
        </is>
      </c>
      <c r="L24" s="44" t="inlineStr">
        <is>
          <t>EA</t>
        </is>
      </c>
      <c r="M24" s="45" t="n"/>
      <c r="N24" s="45" t="inlineStr">
        <is>
          <t>Juan Felipe Ramirez</t>
        </is>
      </c>
      <c r="O24" s="44" t="inlineStr">
        <is>
          <t>PDTE</t>
        </is>
      </c>
      <c r="P24" s="45" t="n"/>
      <c r="Q24" s="45" t="n"/>
      <c r="R24" s="44" t="inlineStr">
        <is>
          <t>PDTE</t>
        </is>
      </c>
      <c r="S24" s="45" t="n"/>
      <c r="T24" s="45" t="n"/>
    </row>
    <row r="25" ht="51.75" customHeight="1" s="35">
      <c r="A25" s="42" t="inlineStr">
        <is>
          <t>Sistema</t>
        </is>
      </c>
      <c r="B25" s="42" t="inlineStr">
        <is>
          <t>Portal Paciente</t>
        </is>
      </c>
      <c r="C25" s="42" t="inlineStr">
        <is>
          <t>Mis Citas</t>
        </is>
      </c>
      <c r="D25" s="42" t="inlineStr">
        <is>
          <t>Agendar cita con cuenta activa</t>
        </is>
      </c>
      <c r="E25" s="42" t="inlineStr">
        <is>
          <t>PAC-04</t>
        </is>
      </c>
      <c r="F25" s="42" t="inlineStr">
        <is>
          <t>Crear cita desde portal de paciente autenticado</t>
        </is>
      </c>
      <c r="G25" s="42" t="inlineStr">
        <is>
          <t>El actor autenticado realiza POST /api/patient/appointments con datos válidos de slot disponible</t>
        </is>
      </c>
      <c r="H25" s="42" t="inlineStr">
        <is>
          <t>El sistema retorna 200 OK con la cita creada. La cita queda asociada al externalUserId del paciente.</t>
        </is>
      </c>
      <c r="I25" s="42" t="inlineStr">
        <is>
          <t>Slot disponible. Paciente con sesión activa</t>
        </is>
      </c>
      <c r="J25" s="42" t="inlineStr">
        <is>
          <t>Paciente</t>
        </is>
      </c>
      <c r="K25" s="43" t="inlineStr">
        <is>
          <t>X</t>
        </is>
      </c>
      <c r="L25" s="44" t="inlineStr">
        <is>
          <t>EA</t>
        </is>
      </c>
      <c r="M25" s="42" t="n"/>
      <c r="N25" s="42" t="inlineStr">
        <is>
          <t>Juan Felipe Ramirez</t>
        </is>
      </c>
      <c r="O25" s="44" t="inlineStr">
        <is>
          <t>PDTE</t>
        </is>
      </c>
      <c r="P25" s="42" t="n"/>
      <c r="Q25" s="42" t="n"/>
      <c r="R25" s="44" t="inlineStr">
        <is>
          <t>PDTE</t>
        </is>
      </c>
      <c r="S25" s="42" t="n"/>
      <c r="T25" s="42" t="n"/>
    </row>
    <row r="26" ht="51.75" customHeight="1" s="35">
      <c r="A26" s="45" t="inlineStr">
        <is>
          <t>Sistema</t>
        </is>
      </c>
      <c r="B26" s="45" t="inlineStr">
        <is>
          <t>Portal Paciente</t>
        </is>
      </c>
      <c r="C26" s="45" t="inlineStr">
        <is>
          <t>Mis Citas</t>
        </is>
      </c>
      <c r="D26" s="45" t="inlineStr">
        <is>
          <t>Cancelar cita propia</t>
        </is>
      </c>
      <c r="E26" s="45" t="inlineStr">
        <is>
          <t>PAC-05</t>
        </is>
      </c>
      <c r="F26" s="45" t="inlineStr">
        <is>
          <t>Cancelar una cita programada del paciente</t>
        </is>
      </c>
      <c r="G26" s="45" t="inlineStr">
        <is>
          <t>El actor autenticado realiza PATCH /api/patient/appointments/{id}/cancel</t>
        </is>
      </c>
      <c r="H26" s="45" t="inlineStr">
        <is>
          <t>El sistema retorna 200 OK con status=Cancelled. El paciente no puede cancelar citas de otro paciente.</t>
        </is>
      </c>
      <c r="I26" s="45" t="inlineStr">
        <is>
          <t>Cita con status=Scheduled perteneciente al paciente</t>
        </is>
      </c>
      <c r="J26" s="45" t="inlineStr">
        <is>
          <t>Paciente</t>
        </is>
      </c>
      <c r="K26" s="46" t="inlineStr">
        <is>
          <t>X</t>
        </is>
      </c>
      <c r="L26" s="44" t="inlineStr">
        <is>
          <t>EA</t>
        </is>
      </c>
      <c r="M26" s="45" t="n"/>
      <c r="N26" s="45" t="inlineStr">
        <is>
          <t>Juan Felipe Ramirez</t>
        </is>
      </c>
      <c r="O26" s="44" t="inlineStr">
        <is>
          <t>PDTE</t>
        </is>
      </c>
      <c r="P26" s="45" t="n"/>
      <c r="Q26" s="45" t="n"/>
      <c r="R26" s="44" t="inlineStr">
        <is>
          <t>PDTE</t>
        </is>
      </c>
      <c r="S26" s="45" t="n"/>
      <c r="T26" s="45" t="n"/>
    </row>
    <row r="27" ht="51.75" customHeight="1" s="35">
      <c r="A27" s="42" t="inlineStr">
        <is>
          <t>Sistema</t>
        </is>
      </c>
      <c r="B27" s="42" t="inlineStr">
        <is>
          <t>Portal Paciente</t>
        </is>
      </c>
      <c r="C27" s="42" t="inlineStr">
        <is>
          <t>Mis Citas</t>
        </is>
      </c>
      <c r="D27" s="42" t="inlineStr">
        <is>
          <t>Cancelar cita de otro paciente</t>
        </is>
      </c>
      <c r="E27" s="42" t="inlineStr">
        <is>
          <t>PAC-06</t>
        </is>
      </c>
      <c r="F27" s="42" t="inlineStr">
        <is>
          <t>Intentar cancelar una cita que no pertenece al paciente autenticado</t>
        </is>
      </c>
      <c r="G27" s="42" t="inlineStr">
        <is>
          <t>El actor autenticado intenta cancelar un appointmentId que pertenece a otro paciente</t>
        </is>
      </c>
      <c r="H27" s="42" t="inlineStr">
        <is>
          <t>El sistema retorna 403 Forbidden o 404 Not Found. La cita no es cancelada.</t>
        </is>
      </c>
      <c r="I27" s="42" t="inlineStr">
        <is>
          <t>Sesión de Paciente A activa. Cita perteneciente a Paciente B</t>
        </is>
      </c>
      <c r="J27" s="42" t="inlineStr">
        <is>
          <t>Paciente</t>
        </is>
      </c>
      <c r="K27" s="43" t="n"/>
      <c r="L27" s="44" t="inlineStr">
        <is>
          <t>ENA</t>
        </is>
      </c>
      <c r="M27" s="42" t="inlineStr">
        <is>
          <t>Cancelacion de cita ajena responde 400 (esperado 403/404).</t>
        </is>
      </c>
      <c r="N27" s="42" t="inlineStr">
        <is>
          <t>Juan Felipe Ramirez</t>
        </is>
      </c>
      <c r="O27" s="44" t="inlineStr">
        <is>
          <t>PDTE</t>
        </is>
      </c>
      <c r="P27" s="42" t="n"/>
      <c r="Q27" s="42" t="n"/>
      <c r="R27" s="44" t="inlineStr">
        <is>
          <t>PDTE</t>
        </is>
      </c>
      <c r="S27" s="42" t="n"/>
      <c r="T27" s="42" t="n"/>
    </row>
    <row r="28" ht="51.75" customHeight="1" s="35">
      <c r="A28" s="45" t="inlineStr">
        <is>
          <t>Sistema</t>
        </is>
      </c>
      <c r="B28" s="45" t="inlineStr">
        <is>
          <t>Portal Interno</t>
        </is>
      </c>
      <c r="C28" s="45" t="inlineStr">
        <is>
          <t>Búsqueda de Paciente</t>
        </is>
      </c>
      <c r="D28" s="45" t="inlineStr">
        <is>
          <t>Buscar paciente por documento (interno)</t>
        </is>
      </c>
      <c r="E28" s="45" t="inlineStr">
        <is>
          <t>INT-01</t>
        </is>
      </c>
      <c r="F28" s="45" t="inlineStr">
        <is>
          <t>Buscar paciente desde la vista interna por número de documento</t>
        </is>
      </c>
      <c r="G28" s="45" t="inlineStr">
        <is>
          <t>El actor interno (Admin/Scheduler/Doctor) realiza GET /api/internal/patients/search?document=1000</t>
        </is>
      </c>
      <c r="H28" s="45" t="inlineStr">
        <is>
          <t>El sistema retorna lista de pacientes cuyo documentNumber contiene el término. Retorna scheduledAppointmentsCount y hasUserAccount.</t>
        </is>
      </c>
      <c r="I28" s="45" t="inlineStr">
        <is>
          <t>Personal interno autenticado</t>
        </is>
      </c>
      <c r="J28" s="45" t="inlineStr">
        <is>
          <t>Scheduler</t>
        </is>
      </c>
      <c r="K28" s="46" t="inlineStr">
        <is>
          <t>X</t>
        </is>
      </c>
      <c r="L28" s="44" t="inlineStr">
        <is>
          <t>EA</t>
        </is>
      </c>
      <c r="M28" s="45" t="n"/>
      <c r="N28" s="45" t="inlineStr">
        <is>
          <t>Juan Felipe Ramirez</t>
        </is>
      </c>
      <c r="O28" s="44" t="inlineStr">
        <is>
          <t>PDTE</t>
        </is>
      </c>
      <c r="P28" s="45" t="n"/>
      <c r="Q28" s="45" t="n"/>
      <c r="R28" s="44" t="inlineStr">
        <is>
          <t>PDTE</t>
        </is>
      </c>
      <c r="S28" s="45" t="n"/>
      <c r="T28" s="45" t="n"/>
    </row>
    <row r="29" ht="51.75" customHeight="1" s="35">
      <c r="A29" s="42" t="inlineStr">
        <is>
          <t>Sistema</t>
        </is>
      </c>
      <c r="B29" s="42" t="inlineStr">
        <is>
          <t>Portal Interno</t>
        </is>
      </c>
      <c r="C29" s="42" t="inlineStr">
        <is>
          <t>Gestión de Citas</t>
        </is>
      </c>
      <c r="D29" s="42" t="inlineStr">
        <is>
          <t>Ver agenda por médico y fecha</t>
        </is>
      </c>
      <c r="E29" s="42" t="inlineStr">
        <is>
          <t>INT-02</t>
        </is>
      </c>
      <c r="F29" s="42" t="inlineStr">
        <is>
          <t>Consultar todas las citas de un médico en una fecha específica</t>
        </is>
      </c>
      <c r="G29" s="42" t="inlineStr">
        <is>
          <t>El actor interno realiza GET /api/internal/appointments?providerId={id}&amp;date=YYYY-MM-DD</t>
        </is>
      </c>
      <c r="H29" s="42" t="inlineStr">
        <is>
          <t>El sistema retorna 200 OK con providerName, specialty, appointmentDate, total y lista de citas con todos sus datos.</t>
        </is>
      </c>
      <c r="I29" s="42" t="inlineStr">
        <is>
          <t>Proveedor existente. Personal interno autenticado</t>
        </is>
      </c>
      <c r="J29" s="42" t="inlineStr">
        <is>
          <t>Doctor</t>
        </is>
      </c>
      <c r="K29" s="43" t="inlineStr">
        <is>
          <t>X</t>
        </is>
      </c>
      <c r="L29" s="44" t="inlineStr">
        <is>
          <t>EA</t>
        </is>
      </c>
      <c r="M29" s="42" t="n"/>
      <c r="N29" s="42" t="inlineStr">
        <is>
          <t>Juan Felipe Ramirez</t>
        </is>
      </c>
      <c r="O29" s="44" t="inlineStr">
        <is>
          <t>PDTE</t>
        </is>
      </c>
      <c r="P29" s="42" t="n"/>
      <c r="Q29" s="42" t="n"/>
      <c r="R29" s="44" t="inlineStr">
        <is>
          <t>PDTE</t>
        </is>
      </c>
      <c r="S29" s="42" t="n"/>
      <c r="T29" s="42" t="n"/>
    </row>
    <row r="30" ht="51.75" customHeight="1" s="35">
      <c r="A30" s="45" t="inlineStr">
        <is>
          <t>Sistema</t>
        </is>
      </c>
      <c r="B30" s="45" t="inlineStr">
        <is>
          <t>Portal Interno</t>
        </is>
      </c>
      <c r="C30" s="45" t="inlineStr">
        <is>
          <t>Gestión de Citas</t>
        </is>
      </c>
      <c r="D30" s="45" t="inlineStr">
        <is>
          <t>Crear cita desde portal interno</t>
        </is>
      </c>
      <c r="E30" s="45" t="inlineStr">
        <is>
          <t>INT-03</t>
        </is>
      </c>
      <c r="F30" s="45" t="inlineStr">
        <is>
          <t>Registrar una cita para un paciente desde el portal interno (canal WhatsApp o Teléfono)</t>
        </is>
      </c>
      <c r="G30" s="45" t="inlineStr">
        <is>
          <t>El actor (Scheduler) realiza POST /api/internal/appointments con channel=WhatsApp, datos del paciente y slot disponible</t>
        </is>
      </c>
      <c r="H30" s="45" t="inlineStr">
        <is>
          <t>El sistema retorna 200 OK con la cita creada y channel=WhatsApp. Si el paciente no existe en BD, se crea como perfil.</t>
        </is>
      </c>
      <c r="I30" s="45" t="inlineStr">
        <is>
          <t>Slot disponible. El canal debe ser WhatsApp, Phone o Internal</t>
        </is>
      </c>
      <c r="J30" s="45" t="inlineStr">
        <is>
          <t>Scheduler</t>
        </is>
      </c>
      <c r="K30" s="46" t="inlineStr">
        <is>
          <t>X</t>
        </is>
      </c>
      <c r="L30" s="44" t="inlineStr">
        <is>
          <t>EA</t>
        </is>
      </c>
      <c r="M30" s="45" t="n"/>
      <c r="N30" s="45" t="inlineStr">
        <is>
          <t>Juan Felipe Ramirez</t>
        </is>
      </c>
      <c r="O30" s="44" t="inlineStr">
        <is>
          <t>PDTE</t>
        </is>
      </c>
      <c r="P30" s="45" t="n"/>
      <c r="Q30" s="45" t="n"/>
      <c r="R30" s="44" t="inlineStr">
        <is>
          <t>PDTE</t>
        </is>
      </c>
      <c r="S30" s="45" t="n"/>
      <c r="T30" s="45" t="n"/>
    </row>
    <row r="31" ht="51.75" customHeight="1" s="35">
      <c r="A31" s="42" t="inlineStr">
        <is>
          <t>Sistema</t>
        </is>
      </c>
      <c r="B31" s="42" t="inlineStr">
        <is>
          <t>Portal Interno</t>
        </is>
      </c>
      <c r="C31" s="42" t="inlineStr">
        <is>
          <t>Gestión de Citas</t>
        </is>
      </c>
      <c r="D31" s="42" t="inlineStr">
        <is>
          <t>Actualizar estado de cita</t>
        </is>
      </c>
      <c r="E31" s="42" t="inlineStr">
        <is>
          <t>INT-04</t>
        </is>
      </c>
      <c r="F31" s="42" t="inlineStr">
        <is>
          <t>Marcar una cita como Completada</t>
        </is>
      </c>
      <c r="G31" s="42" t="inlineStr">
        <is>
          <t>El actor interno realiza PATCH /api/internal/appointments/{id}/status con body {status: 'Completada'}</t>
        </is>
      </c>
      <c r="H31" s="42" t="inlineStr">
        <is>
          <t>El sistema retorna 200 OK con status=Completada. El cambio queda auditado.</t>
        </is>
      </c>
      <c r="I31" s="42" t="inlineStr">
        <is>
          <t>Cita con status=Scheduled existente. Actor con rol Admin, Scheduler o Doctor</t>
        </is>
      </c>
      <c r="J31" s="42" t="inlineStr">
        <is>
          <t>Doctor</t>
        </is>
      </c>
      <c r="K31" s="43" t="inlineStr">
        <is>
          <t>X</t>
        </is>
      </c>
      <c r="L31" s="44" t="inlineStr">
        <is>
          <t>EA</t>
        </is>
      </c>
      <c r="M31" s="42" t="inlineStr">
        <is>
          <t>Se completo una cita pasada; validacion de fecha OK.</t>
        </is>
      </c>
      <c r="N31" s="42" t="inlineStr">
        <is>
          <t>Juan Felipe Ramirez</t>
        </is>
      </c>
      <c r="O31" s="44" t="inlineStr">
        <is>
          <t>PDTE</t>
        </is>
      </c>
      <c r="P31" s="42" t="n"/>
      <c r="Q31" s="42" t="n"/>
      <c r="R31" s="44" t="inlineStr">
        <is>
          <t>PDTE</t>
        </is>
      </c>
      <c r="S31" s="42" t="n"/>
      <c r="T31" s="42" t="n"/>
    </row>
    <row r="32" ht="51.75" customHeight="1" s="35">
      <c r="A32" s="45" t="inlineStr">
        <is>
          <t>Sistema</t>
        </is>
      </c>
      <c r="B32" s="45" t="inlineStr">
        <is>
          <t>Portal Interno</t>
        </is>
      </c>
      <c r="C32" s="45" t="inlineStr">
        <is>
          <t>Gestión de Citas</t>
        </is>
      </c>
      <c r="D32" s="45" t="inlineStr">
        <is>
          <t>Actualizar estado con valor inválido</t>
        </is>
      </c>
      <c r="E32" s="45" t="inlineStr">
        <is>
          <t>INT-05</t>
        </is>
      </c>
      <c r="F32" s="45" t="inlineStr">
        <is>
          <t>Intentar actualizar estado con un valor no reconocido</t>
        </is>
      </c>
      <c r="G32" s="45" t="inlineStr">
        <is>
          <t>PATCH /api/internal/appointments/{id}/status con status='EstadoInventado'</t>
        </is>
      </c>
      <c r="H32" s="45" t="inlineStr">
        <is>
          <t>El sistema retorna 422 o 400 con error de validación. El estado de la cita no cambia.</t>
        </is>
      </c>
      <c r="I32" s="45" t="inlineStr">
        <is>
          <t>Cita existente. Actor con rol interno válido</t>
        </is>
      </c>
      <c r="J32" s="45" t="inlineStr">
        <is>
          <t>Scheduler</t>
        </is>
      </c>
      <c r="K32" s="46" t="n"/>
      <c r="L32" s="44" t="inlineStr">
        <is>
          <t>EA</t>
        </is>
      </c>
      <c r="M32" s="45" t="n"/>
      <c r="N32" s="45" t="inlineStr">
        <is>
          <t>Juan Felipe Ramirez</t>
        </is>
      </c>
      <c r="O32" s="44" t="inlineStr">
        <is>
          <t>PDTE</t>
        </is>
      </c>
      <c r="P32" s="45" t="n"/>
      <c r="Q32" s="45" t="n"/>
      <c r="R32" s="44" t="inlineStr">
        <is>
          <t>PDTE</t>
        </is>
      </c>
      <c r="S32" s="45" t="n"/>
      <c r="T32" s="45" t="n"/>
    </row>
    <row r="33" ht="51.75" customHeight="1" s="35">
      <c r="A33" s="42" t="inlineStr">
        <is>
          <t>Sistema</t>
        </is>
      </c>
      <c r="B33" s="42" t="inlineStr">
        <is>
          <t>Portal Interno</t>
        </is>
      </c>
      <c r="C33" s="42" t="inlineStr">
        <is>
          <t>Gestión de Citas</t>
        </is>
      </c>
      <c r="D33" s="42" t="inlineStr">
        <is>
          <t>Reprogramar una cita</t>
        </is>
      </c>
      <c r="E33" s="42" t="inlineStr">
        <is>
          <t>INT-06</t>
        </is>
      </c>
      <c r="F33" s="42" t="inlineStr">
        <is>
          <t>Cambiar la fecha y hora de una cita existente</t>
        </is>
      </c>
      <c r="G33" s="42" t="inlineStr">
        <is>
          <t>El actor interno realiza PUT /api/internal/appointments/{id}/reschedule con newDate y newStartTime de un slot disponible</t>
        </is>
      </c>
      <c r="H33" s="42" t="inlineStr">
        <is>
          <t>El sistema retorna 200 OK con los nuevos datos. Se crea un registro en AppointmentHistory con los datos anteriores y el usuario que hizo el cambio.</t>
        </is>
      </c>
      <c r="I33" s="42" t="inlineStr">
        <is>
          <t>Cita con status=Scheduled. Nuevo slot disponible en el mismo proveedor</t>
        </is>
      </c>
      <c r="J33" s="42" t="inlineStr">
        <is>
          <t>Scheduler</t>
        </is>
      </c>
      <c r="K33" s="43" t="inlineStr">
        <is>
          <t>X</t>
        </is>
      </c>
      <c r="L33" s="44" t="inlineStr">
        <is>
          <t>EA</t>
        </is>
      </c>
      <c r="M33" s="42" t="n"/>
      <c r="N33" s="42" t="inlineStr">
        <is>
          <t>Juan Felipe Ramirez</t>
        </is>
      </c>
      <c r="O33" s="44" t="inlineStr">
        <is>
          <t>PDTE</t>
        </is>
      </c>
      <c r="P33" s="42" t="n"/>
      <c r="Q33" s="42" t="n"/>
      <c r="R33" s="44" t="inlineStr">
        <is>
          <t>PDTE</t>
        </is>
      </c>
      <c r="S33" s="42" t="n"/>
      <c r="T33" s="42" t="n"/>
    </row>
    <row r="34" ht="51.75" customHeight="1" s="35">
      <c r="A34" s="45" t="inlineStr">
        <is>
          <t>Sistema</t>
        </is>
      </c>
      <c r="B34" s="45" t="inlineStr">
        <is>
          <t>Portal Interno</t>
        </is>
      </c>
      <c r="C34" s="45" t="inlineStr">
        <is>
          <t>Gestión de Citas</t>
        </is>
      </c>
      <c r="D34" s="45" t="inlineStr">
        <is>
          <t>Reprogramar a slot ocupado</t>
        </is>
      </c>
      <c r="E34" s="45" t="inlineStr">
        <is>
          <t>INT-07</t>
        </is>
      </c>
      <c r="F34" s="45" t="inlineStr">
        <is>
          <t>Intentar reprogramar a un horario ya reservado</t>
        </is>
      </c>
      <c r="G34" s="45" t="inlineStr">
        <is>
          <t>PUT /api/internal/appointments/{id}/reschedule apuntando a slot con available=false</t>
        </is>
      </c>
      <c r="H34" s="45" t="inlineStr">
        <is>
          <t>El sistema retorna 409 Conflict indicando que el nuevo horario no está disponible</t>
        </is>
      </c>
      <c r="I34" s="45" t="inlineStr">
        <is>
          <t>Cita existente. Slot de destino ya ocupado</t>
        </is>
      </c>
      <c r="J34" s="45" t="inlineStr">
        <is>
          <t>Scheduler</t>
        </is>
      </c>
      <c r="K34" s="46" t="n"/>
      <c r="L34" s="44" t="inlineStr">
        <is>
          <t>EA</t>
        </is>
      </c>
      <c r="M34" s="45" t="n"/>
      <c r="N34" s="45" t="inlineStr">
        <is>
          <t>Juan Felipe Ramirez</t>
        </is>
      </c>
      <c r="O34" s="44" t="inlineStr">
        <is>
          <t>PDTE</t>
        </is>
      </c>
      <c r="P34" s="45" t="n"/>
      <c r="Q34" s="45" t="n"/>
      <c r="R34" s="44" t="inlineStr">
        <is>
          <t>PDTE</t>
        </is>
      </c>
      <c r="S34" s="45" t="n"/>
      <c r="T34" s="45" t="n"/>
    </row>
    <row r="35" ht="51.75" customHeight="1" s="35">
      <c r="A35" s="42" t="inlineStr">
        <is>
          <t>Sistema</t>
        </is>
      </c>
      <c r="B35" s="42" t="inlineStr">
        <is>
          <t>Portal Interno</t>
        </is>
      </c>
      <c r="C35" s="42" t="inlineStr">
        <is>
          <t>Historial</t>
        </is>
      </c>
      <c r="D35" s="42" t="inlineStr">
        <is>
          <t>Consultar historial de reprogramaciones</t>
        </is>
      </c>
      <c r="E35" s="42" t="inlineStr">
        <is>
          <t>INT-08</t>
        </is>
      </c>
      <c r="F35" s="42" t="inlineStr">
        <is>
          <t>Ver el historial de cambios de una cita que fue reprogramada</t>
        </is>
      </c>
      <c r="G35" s="42" t="inlineStr">
        <is>
          <t>GET /api/internal/appointments/{id}/history</t>
        </is>
      </c>
      <c r="H35" s="42" t="inlineStr">
        <is>
          <t>El sistema retorna lista de AppointmentHistory con: previousDate/Time, newDate/Time, reason, changedBy, changedAtUtc</t>
        </is>
      </c>
      <c r="I35" s="42" t="inlineStr">
        <is>
          <t>Cita que haya sido reprogramada al menos una vez</t>
        </is>
      </c>
      <c r="J35" s="42" t="inlineStr">
        <is>
          <t>Doctor</t>
        </is>
      </c>
      <c r="K35" s="43" t="inlineStr">
        <is>
          <t>X</t>
        </is>
      </c>
      <c r="L35" s="44" t="inlineStr">
        <is>
          <t>EA</t>
        </is>
      </c>
      <c r="M35" s="42" t="n"/>
      <c r="N35" s="42" t="inlineStr">
        <is>
          <t>Juan Felipe Ramirez</t>
        </is>
      </c>
      <c r="O35" s="44" t="inlineStr">
        <is>
          <t>PDTE</t>
        </is>
      </c>
      <c r="P35" s="42" t="n"/>
      <c r="Q35" s="42" t="n"/>
      <c r="R35" s="44" t="inlineStr">
        <is>
          <t>PDTE</t>
        </is>
      </c>
      <c r="S35" s="42" t="n"/>
      <c r="T35" s="42" t="n"/>
    </row>
    <row r="36" ht="51.75" customHeight="1" s="35">
      <c r="A36" s="45" t="inlineStr">
        <is>
          <t>Sistema</t>
        </is>
      </c>
      <c r="B36" s="45" t="inlineStr">
        <is>
          <t>Portal Interno</t>
        </is>
      </c>
      <c r="C36" s="45" t="inlineStr">
        <is>
          <t>Exportación</t>
        </is>
      </c>
      <c r="D36" s="45" t="inlineStr">
        <is>
          <t>Exportar agenda en PDF</t>
        </is>
      </c>
      <c r="E36" s="45" t="inlineStr">
        <is>
          <t>INT-09</t>
        </is>
      </c>
      <c r="F36" s="45" t="inlineStr">
        <is>
          <t>Descargar el listado de citas de un médico en formato PDF</t>
        </is>
      </c>
      <c r="G36" s="45" t="inlineStr">
        <is>
          <t>GET /api/internal/appointments/export/pdf?providerId={id}&amp;date=YYYY-MM-DD</t>
        </is>
      </c>
      <c r="H36" s="45" t="inlineStr">
        <is>
          <t>El sistema retorna 200 con Content-Type=application/pdf y el archivo citas-YYYYMMDD.pdf. El PDF contiene los datos de las citas del día.</t>
        </is>
      </c>
      <c r="I36" s="45" t="inlineStr">
        <is>
          <t>Deben existir citas para el proveedor y fecha indicados</t>
        </is>
      </c>
      <c r="J36" s="45" t="inlineStr">
        <is>
          <t>Admin</t>
        </is>
      </c>
      <c r="K36" s="46" t="inlineStr">
        <is>
          <t>X</t>
        </is>
      </c>
      <c r="L36" s="44" t="inlineStr">
        <is>
          <t>EA</t>
        </is>
      </c>
      <c r="M36" s="45" t="n"/>
      <c r="N36" s="45" t="inlineStr">
        <is>
          <t>Juan Felipe Ramirez</t>
        </is>
      </c>
      <c r="O36" s="44" t="inlineStr">
        <is>
          <t>PDTE</t>
        </is>
      </c>
      <c r="P36" s="45" t="n"/>
      <c r="Q36" s="45" t="n"/>
      <c r="R36" s="44" t="inlineStr">
        <is>
          <t>PDTE</t>
        </is>
      </c>
      <c r="S36" s="45" t="n"/>
      <c r="T36" s="45" t="n"/>
    </row>
    <row r="37" ht="51.75" customHeight="1" s="35">
      <c r="A37" s="42" t="inlineStr">
        <is>
          <t>Sistema</t>
        </is>
      </c>
      <c r="B37" s="42" t="inlineStr">
        <is>
          <t>Portal Interno</t>
        </is>
      </c>
      <c r="C37" s="42" t="inlineStr">
        <is>
          <t>Exportación</t>
        </is>
      </c>
      <c r="D37" s="42" t="inlineStr">
        <is>
          <t>Exportar agenda en CSV</t>
        </is>
      </c>
      <c r="E37" s="42" t="inlineStr">
        <is>
          <t>INT-10</t>
        </is>
      </c>
      <c r="F37" s="42" t="inlineStr">
        <is>
          <t>Descargar el listado de citas de un médico en formato CSV</t>
        </is>
      </c>
      <c r="G37" s="42" t="inlineStr">
        <is>
          <t>GET /api/internal/appointments/export/csv?providerId={id}&amp;date=YYYY-MM-DD</t>
        </is>
      </c>
      <c r="H37" s="42" t="inlineStr">
        <is>
          <t>El sistema retorna 200 con Content-Type=text/csv y el archivo citas_YYYYMMDD.csv con encabezados y datos de citas.</t>
        </is>
      </c>
      <c r="I37" s="42" t="inlineStr">
        <is>
          <t>Deben existir citas para el proveedor y fecha indicados</t>
        </is>
      </c>
      <c r="J37" s="42" t="inlineStr">
        <is>
          <t>Admin</t>
        </is>
      </c>
      <c r="K37" s="43" t="inlineStr">
        <is>
          <t>X</t>
        </is>
      </c>
      <c r="L37" s="44" t="inlineStr">
        <is>
          <t>EA</t>
        </is>
      </c>
      <c r="M37" s="42" t="n"/>
      <c r="N37" s="42" t="inlineStr">
        <is>
          <t>Juan Felipe Ramirez</t>
        </is>
      </c>
      <c r="O37" s="44" t="inlineStr">
        <is>
          <t>PDTE</t>
        </is>
      </c>
      <c r="P37" s="42" t="n"/>
      <c r="Q37" s="42" t="n"/>
      <c r="R37" s="44" t="inlineStr">
        <is>
          <t>PDTE</t>
        </is>
      </c>
      <c r="S37" s="42" t="n"/>
      <c r="T37" s="42" t="n"/>
    </row>
    <row r="38" ht="51.75" customHeight="1" s="35">
      <c r="A38" s="45" t="inlineStr">
        <is>
          <t>Sistema</t>
        </is>
      </c>
      <c r="B38" s="45" t="inlineStr">
        <is>
          <t>Portal Interno</t>
        </is>
      </c>
      <c r="C38" s="45" t="inlineStr">
        <is>
          <t>Exportación</t>
        </is>
      </c>
      <c r="D38" s="45" t="inlineStr">
        <is>
          <t>Exportar PDF sin citas</t>
        </is>
      </c>
      <c r="E38" s="45" t="inlineStr">
        <is>
          <t>INT-11</t>
        </is>
      </c>
      <c r="F38" s="45" t="inlineStr">
        <is>
          <t>Intentar exportar PDF en fecha sin citas agendadas</t>
        </is>
      </c>
      <c r="G38" s="45" t="inlineStr">
        <is>
          <t>GET /api/internal/appointments/export/pdf con fecha sin citas</t>
        </is>
      </c>
      <c r="H38" s="45" t="inlineStr">
        <is>
          <t>El sistema retorna 404 Not Found con mensaje 'No fue posible generar el PDF solicitado.'</t>
        </is>
      </c>
      <c r="I38" s="45" t="inlineStr">
        <is>
          <t>Fecha sin citas para el proveedor indicado</t>
        </is>
      </c>
      <c r="J38" s="45" t="inlineStr">
        <is>
          <t>Admin</t>
        </is>
      </c>
      <c r="K38" s="46" t="n"/>
      <c r="L38" s="44" t="inlineStr">
        <is>
          <t>ENA</t>
        </is>
      </c>
      <c r="M38" s="45" t="inlineStr">
        <is>
          <t>PDF sin citas responde 200 con archivo vacio (esperado 404).</t>
        </is>
      </c>
      <c r="N38" s="45" t="inlineStr">
        <is>
          <t>Juan Felipe Ramirez</t>
        </is>
      </c>
      <c r="O38" s="44" t="inlineStr">
        <is>
          <t>PDTE</t>
        </is>
      </c>
      <c r="P38" s="45" t="n"/>
      <c r="Q38" s="45" t="n"/>
      <c r="R38" s="44" t="inlineStr">
        <is>
          <t>PDTE</t>
        </is>
      </c>
      <c r="S38" s="45" t="n"/>
      <c r="T38" s="45" t="n"/>
    </row>
    <row r="39" ht="51.75" customHeight="1" s="35">
      <c r="A39" s="42" t="inlineStr">
        <is>
          <t>Sistema</t>
        </is>
      </c>
      <c r="B39" s="42" t="inlineStr">
        <is>
          <t>Portal Interno</t>
        </is>
      </c>
      <c r="C39" s="42" t="inlineStr">
        <is>
          <t>Control de Acceso</t>
        </is>
      </c>
      <c r="D39" s="42" t="inlineStr">
        <is>
          <t>Acceso sin autenticación al portal interno</t>
        </is>
      </c>
      <c r="E39" s="42" t="inlineStr">
        <is>
          <t>INT-12</t>
        </is>
      </c>
      <c r="F39" s="42" t="inlineStr">
        <is>
          <t>Intentar acceder a endpoints internos sin token/sesión</t>
        </is>
      </c>
      <c r="G39" s="42" t="inlineStr">
        <is>
          <t>GET /api/internal/appointments sin cabecera de autenticación</t>
        </is>
      </c>
      <c r="H39" s="42" t="inlineStr">
        <is>
          <t>El sistema retorna 401 Unauthorized. El recurso no es accesible.</t>
        </is>
      </c>
      <c r="I39" s="42" t="inlineStr">
        <is>
          <t>Sin sesión activa</t>
        </is>
      </c>
      <c r="J39" s="42" t="inlineStr">
        <is>
          <t>Anónimo</t>
        </is>
      </c>
      <c r="K39" s="43" t="inlineStr">
        <is>
          <t>X</t>
        </is>
      </c>
      <c r="L39" s="44" t="inlineStr">
        <is>
          <t>EA</t>
        </is>
      </c>
      <c r="M39" s="42" t="n"/>
      <c r="N39" s="42" t="inlineStr">
        <is>
          <t>Juan Felipe Ramirez</t>
        </is>
      </c>
      <c r="O39" s="44" t="inlineStr">
        <is>
          <t>PDTE</t>
        </is>
      </c>
      <c r="P39" s="42" t="n"/>
      <c r="Q39" s="42" t="n"/>
      <c r="R39" s="44" t="inlineStr">
        <is>
          <t>PDTE</t>
        </is>
      </c>
      <c r="S39" s="42" t="n"/>
      <c r="T39" s="42" t="n"/>
    </row>
    <row r="40" ht="51.75" customHeight="1" s="35">
      <c r="A40" s="45" t="inlineStr">
        <is>
          <t>Sistema</t>
        </is>
      </c>
      <c r="B40" s="45" t="inlineStr">
        <is>
          <t>Administración</t>
        </is>
      </c>
      <c r="C40" s="45" t="inlineStr">
        <is>
          <t>Configuración</t>
        </is>
      </c>
      <c r="D40" s="45" t="inlineStr">
        <is>
          <t>Ver configuración del sistema</t>
        </is>
      </c>
      <c r="E40" s="45" t="inlineStr">
        <is>
          <t>ADM-01</t>
        </is>
      </c>
      <c r="F40" s="45" t="inlineStr">
        <is>
          <t>Consultar parámetros globales del sistema (semanas de agendamiento y zona horaria)</t>
        </is>
      </c>
      <c r="G40" s="45" t="inlineStr">
        <is>
          <t>El actor Admin o Doctor realiza GET /api/admin/settings</t>
        </is>
      </c>
      <c r="H40" s="45" t="inlineStr">
        <is>
          <t>El sistema retorna 200 OK con weeksAheadBooking (entero) y timeZoneId (ej. 'America/Bogota')</t>
        </is>
      </c>
      <c r="I40" s="45" t="inlineStr">
        <is>
          <t>Actor con rol Admin o Doctor</t>
        </is>
      </c>
      <c r="J40" s="45" t="inlineStr">
        <is>
          <t>Admin</t>
        </is>
      </c>
      <c r="K40" s="46" t="inlineStr">
        <is>
          <t>X</t>
        </is>
      </c>
      <c r="L40" s="44" t="inlineStr">
        <is>
          <t>EA</t>
        </is>
      </c>
      <c r="M40" s="45" t="n"/>
      <c r="N40" s="45" t="inlineStr">
        <is>
          <t>Juan Felipe Ramirez</t>
        </is>
      </c>
      <c r="O40" s="44" t="inlineStr">
        <is>
          <t>PDTE</t>
        </is>
      </c>
      <c r="P40" s="45" t="n"/>
      <c r="Q40" s="45" t="n"/>
      <c r="R40" s="44" t="inlineStr">
        <is>
          <t>PDTE</t>
        </is>
      </c>
      <c r="S40" s="45" t="n"/>
      <c r="T40" s="45" t="n"/>
    </row>
    <row r="41" ht="51.75" customHeight="1" s="35">
      <c r="A41" s="42" t="inlineStr">
        <is>
          <t>Sistema</t>
        </is>
      </c>
      <c r="B41" s="42" t="inlineStr">
        <is>
          <t>Administración</t>
        </is>
      </c>
      <c r="C41" s="42" t="inlineStr">
        <is>
          <t>Configuración</t>
        </is>
      </c>
      <c r="D41" s="42" t="inlineStr">
        <is>
          <t>Actualizar configuración del sistema</t>
        </is>
      </c>
      <c r="E41" s="42" t="inlineStr">
        <is>
          <t>ADM-02</t>
        </is>
      </c>
      <c r="F41" s="42" t="inlineStr">
        <is>
          <t>Modificar la ventana de agendamiento de 6 a 4 semanas</t>
        </is>
      </c>
      <c r="G41" s="42" t="inlineStr">
        <is>
          <t>El actor Admin realiza PUT /api/admin/settings con weeksAheadBooking=4 y timeZoneId válido</t>
        </is>
      </c>
      <c r="H41" s="42" t="inlineStr">
        <is>
          <t>El sistema retorna 200 OK con los nuevos parámetros. La nueva ventana impacta inmediatamente la disponibilidad pública.</t>
        </is>
      </c>
      <c r="I41" s="42" t="inlineStr">
        <is>
          <t>Solo rol Admin puede actualizar. Rol Doctor puede ver pero no modificar.</t>
        </is>
      </c>
      <c r="J41" s="42" t="inlineStr">
        <is>
          <t>Admin</t>
        </is>
      </c>
      <c r="K41" s="43" t="inlineStr">
        <is>
          <t>X</t>
        </is>
      </c>
      <c r="L41" s="44" t="inlineStr">
        <is>
          <t>EA</t>
        </is>
      </c>
      <c r="M41" s="42" t="n"/>
      <c r="N41" s="42" t="inlineStr">
        <is>
          <t>Juan Felipe Ramirez</t>
        </is>
      </c>
      <c r="O41" s="44" t="inlineStr">
        <is>
          <t>PDTE</t>
        </is>
      </c>
      <c r="P41" s="42" t="n"/>
      <c r="Q41" s="42" t="n"/>
      <c r="R41" s="44" t="inlineStr">
        <is>
          <t>PDTE</t>
        </is>
      </c>
      <c r="S41" s="42" t="n"/>
      <c r="T41" s="42" t="n"/>
    </row>
    <row r="42" ht="51.75" customHeight="1" s="35">
      <c r="A42" s="45" t="inlineStr">
        <is>
          <t>Sistema</t>
        </is>
      </c>
      <c r="B42" s="45" t="inlineStr">
        <is>
          <t>Administración</t>
        </is>
      </c>
      <c r="C42" s="45" t="inlineStr">
        <is>
          <t>Configuración</t>
        </is>
      </c>
      <c r="D42" s="45" t="inlineStr">
        <is>
          <t>Actualizar configuración con rol no autorizado</t>
        </is>
      </c>
      <c r="E42" s="45" t="inlineStr">
        <is>
          <t>ADM-03</t>
        </is>
      </c>
      <c r="F42" s="45" t="inlineStr">
        <is>
          <t>Intentar actualizar configuración con rol Doctor</t>
        </is>
      </c>
      <c r="G42" s="45" t="inlineStr">
        <is>
          <t>El actor Doctor realiza PUT /api/admin/settings</t>
        </is>
      </c>
      <c r="H42" s="45" t="inlineStr">
        <is>
          <t>El sistema retorna 403 Forbidden. La configuración no cambia.</t>
        </is>
      </c>
      <c r="I42" s="45" t="inlineStr">
        <is>
          <t>Sesión activa con rol Doctor</t>
        </is>
      </c>
      <c r="J42" s="45" t="inlineStr">
        <is>
          <t>Doctor</t>
        </is>
      </c>
      <c r="K42" s="46" t="n"/>
      <c r="L42" s="44" t="inlineStr">
        <is>
          <t>EA</t>
        </is>
      </c>
      <c r="M42" s="45" t="n"/>
      <c r="N42" s="45" t="inlineStr">
        <is>
          <t>Juan Felipe Ramirez</t>
        </is>
      </c>
      <c r="O42" s="44" t="inlineStr">
        <is>
          <t>PDTE</t>
        </is>
      </c>
      <c r="P42" s="45" t="n"/>
      <c r="Q42" s="45" t="n"/>
      <c r="R42" s="44" t="inlineStr">
        <is>
          <t>PDTE</t>
        </is>
      </c>
      <c r="S42" s="45" t="n"/>
      <c r="T42" s="45" t="n"/>
    </row>
    <row r="43" ht="51.75" customHeight="1" s="35">
      <c r="A43" s="42" t="inlineStr">
        <is>
          <t>Sistema</t>
        </is>
      </c>
      <c r="B43" s="42" t="inlineStr">
        <is>
          <t>Administración</t>
        </is>
      </c>
      <c r="C43" s="42" t="inlineStr">
        <is>
          <t>Horarios Médicos</t>
        </is>
      </c>
      <c r="D43" s="42" t="inlineStr">
        <is>
          <t>Listar horarios de proveedores</t>
        </is>
      </c>
      <c r="E43" s="42" t="inlineStr">
        <is>
          <t>ADM-04</t>
        </is>
      </c>
      <c r="F43" s="42" t="inlineStr">
        <is>
          <t>Obtener lista completa de médicos con su disponibilidad semanal</t>
        </is>
      </c>
      <c r="G43" s="42" t="inlineStr">
        <is>
          <t>GET /api/admin/provider-schedules</t>
        </is>
      </c>
      <c r="H43" s="42" t="inlineStr">
        <is>
          <t>El sistema retorna 200 OK con lista de ProviderScheduleResponse: providerId, providerName, specialty, defaultSlotIntervalMinutes, weeklyAvailabilities (con dayOfWeek, startTime, endTime, slotIntervalMinutes, isActive)</t>
        </is>
      </c>
      <c r="I43" s="42" t="inlineStr">
        <is>
          <t>Actor con rol Admin o Doctor</t>
        </is>
      </c>
      <c r="J43" s="42" t="inlineStr">
        <is>
          <t>Admin</t>
        </is>
      </c>
      <c r="K43" s="43" t="inlineStr">
        <is>
          <t>X</t>
        </is>
      </c>
      <c r="L43" s="44" t="inlineStr">
        <is>
          <t>EA</t>
        </is>
      </c>
      <c r="M43" s="42" t="n"/>
      <c r="N43" s="42" t="inlineStr">
        <is>
          <t>Juan Felipe Ramirez</t>
        </is>
      </c>
      <c r="O43" s="44" t="inlineStr">
        <is>
          <t>PDTE</t>
        </is>
      </c>
      <c r="P43" s="42" t="n"/>
      <c r="Q43" s="42" t="n"/>
      <c r="R43" s="44" t="inlineStr">
        <is>
          <t>PDTE</t>
        </is>
      </c>
      <c r="S43" s="42" t="n"/>
      <c r="T43" s="42" t="n"/>
    </row>
    <row r="44" ht="51.75" customHeight="1" s="35">
      <c r="A44" s="45" t="inlineStr">
        <is>
          <t>Sistema</t>
        </is>
      </c>
      <c r="B44" s="45" t="inlineStr">
        <is>
          <t>Administración</t>
        </is>
      </c>
      <c r="C44" s="45" t="inlineStr">
        <is>
          <t>Horarios Médicos</t>
        </is>
      </c>
      <c r="D44" s="45" t="inlineStr">
        <is>
          <t>Crear nuevo proveedor con horario</t>
        </is>
      </c>
      <c r="E44" s="45" t="inlineStr">
        <is>
          <t>ADM-05</t>
        </is>
      </c>
      <c r="F44" s="45" t="inlineStr">
        <is>
          <t>Registrar un nuevo médico con disponibilidad semanal</t>
        </is>
      </c>
      <c r="G44" s="45" t="inlineStr">
        <is>
          <t>POST /api/admin/provider-schedules con firstName, lastName, specialty, defaultSlotIntervalMinutes y weeklyAvailabilities (lunes a viernes 8:00-17:00, 30 min)</t>
        </is>
      </c>
      <c r="H44" s="45" t="inlineStr">
        <is>
          <t>El sistema retorna 200 OK con el nuevo proveedor creado e ID generado. El proveedor aparece en el listado público de proveedores.</t>
        </is>
      </c>
      <c r="I44" s="45" t="inlineStr">
        <is>
          <t>Solo rol Admin puede crear. Especialidad no debe estar vacía.</t>
        </is>
      </c>
      <c r="J44" s="45" t="inlineStr">
        <is>
          <t>Admin</t>
        </is>
      </c>
      <c r="K44" s="46" t="inlineStr">
        <is>
          <t>X</t>
        </is>
      </c>
      <c r="L44" s="44" t="inlineStr">
        <is>
          <t>EA</t>
        </is>
      </c>
      <c r="M44" s="45" t="n"/>
      <c r="N44" s="45" t="inlineStr">
        <is>
          <t>Juan Felipe Ramirez</t>
        </is>
      </c>
      <c r="O44" s="44" t="inlineStr">
        <is>
          <t>PDTE</t>
        </is>
      </c>
      <c r="P44" s="45" t="n"/>
      <c r="Q44" s="45" t="n"/>
      <c r="R44" s="44" t="inlineStr">
        <is>
          <t>PDTE</t>
        </is>
      </c>
      <c r="S44" s="45" t="n"/>
      <c r="T44" s="45" t="n"/>
    </row>
    <row r="45" ht="51.75" customHeight="1" s="35">
      <c r="A45" s="42" t="inlineStr">
        <is>
          <t>Sistema</t>
        </is>
      </c>
      <c r="B45" s="42" t="inlineStr">
        <is>
          <t>Administración</t>
        </is>
      </c>
      <c r="C45" s="42" t="inlineStr">
        <is>
          <t>Horarios Médicos</t>
        </is>
      </c>
      <c r="D45" s="42" t="inlineStr">
        <is>
          <t>Actualizar horario de un médico</t>
        </is>
      </c>
      <c r="E45" s="42" t="inlineStr">
        <is>
          <t>ADM-06</t>
        </is>
      </c>
      <c r="F45" s="42" t="inlineStr">
        <is>
          <t>Modificar la disponibilidad semanal de un proveedor existente (ampliar horario)</t>
        </is>
      </c>
      <c r="G45" s="42" t="inlineStr">
        <is>
          <t>PUT /api/admin/provider-schedules/{providerId} con nuevas WeeklyAvailabilities</t>
        </is>
      </c>
      <c r="H45" s="42" t="inlineStr">
        <is>
          <t>El sistema retorna 200 OK con el horario actualizado. Los slots disponibles en el sistema reflejan el nuevo horario.</t>
        </is>
      </c>
      <c r="I45" s="42" t="inlineStr">
        <is>
          <t>Proveedor existente. Actor Admin o Doctor.</t>
        </is>
      </c>
      <c r="J45" s="42" t="inlineStr">
        <is>
          <t>Admin</t>
        </is>
      </c>
      <c r="K45" s="43" t="inlineStr">
        <is>
          <t>X</t>
        </is>
      </c>
      <c r="L45" s="44" t="inlineStr">
        <is>
          <t>EA</t>
        </is>
      </c>
      <c r="M45" s="42" t="n"/>
      <c r="N45" s="42" t="inlineStr">
        <is>
          <t>Juan Felipe Ramirez</t>
        </is>
      </c>
      <c r="O45" s="44" t="inlineStr">
        <is>
          <t>PDTE</t>
        </is>
      </c>
      <c r="P45" s="42" t="n"/>
      <c r="Q45" s="42" t="n"/>
      <c r="R45" s="44" t="inlineStr">
        <is>
          <t>PDTE</t>
        </is>
      </c>
      <c r="S45" s="42" t="n"/>
      <c r="T45" s="42" t="n"/>
    </row>
    <row r="46" ht="51.75" customHeight="1" s="35">
      <c r="A46" s="45" t="inlineStr">
        <is>
          <t>Sistema</t>
        </is>
      </c>
      <c r="B46" s="45" t="inlineStr">
        <is>
          <t>Administración</t>
        </is>
      </c>
      <c r="C46" s="45" t="inlineStr">
        <is>
          <t>Horarios Médicos</t>
        </is>
      </c>
      <c r="D46" s="45" t="inlineStr">
        <is>
          <t>Eliminar proveedor</t>
        </is>
      </c>
      <c r="E46" s="45" t="inlineStr">
        <is>
          <t>ADM-07</t>
        </is>
      </c>
      <c r="F46" s="45" t="inlineStr">
        <is>
          <t>Eliminar un proveedor del sistema</t>
        </is>
      </c>
      <c r="G46" s="45" t="inlineStr">
        <is>
          <t>DELETE /api/admin/provider-schedules/{providerId}</t>
        </is>
      </c>
      <c r="H46" s="45" t="inlineStr">
        <is>
          <t>El sistema retorna 204 No Content. El proveedor desaparece del listado público. Solo rol Admin puede ejecutar.</t>
        </is>
      </c>
      <c r="I46" s="45" t="inlineStr">
        <is>
          <t>Proveedor existente. Solo Admin. No debe tener citas activas (verificar comportamiento).</t>
        </is>
      </c>
      <c r="J46" s="45" t="inlineStr">
        <is>
          <t>Admin</t>
        </is>
      </c>
      <c r="K46" s="46" t="inlineStr">
        <is>
          <t>X</t>
        </is>
      </c>
      <c r="L46" s="44" t="inlineStr">
        <is>
          <t>ENA</t>
        </is>
      </c>
      <c r="M46" s="45" t="inlineStr">
        <is>
          <t>Proveedor permanece en listado; solo se elimina disponibilidad semanal.</t>
        </is>
      </c>
      <c r="N46" s="45" t="inlineStr">
        <is>
          <t>Juan Felipe Ramirez</t>
        </is>
      </c>
      <c r="O46" s="44" t="inlineStr">
        <is>
          <t>PDTE</t>
        </is>
      </c>
      <c r="P46" s="45" t="n"/>
      <c r="Q46" s="45" t="n"/>
      <c r="R46" s="44" t="inlineStr">
        <is>
          <t>PDTE</t>
        </is>
      </c>
      <c r="S46" s="45" t="n"/>
      <c r="T46" s="45" t="n"/>
    </row>
    <row r="47" ht="51.75" customHeight="1" s="35">
      <c r="A47" s="42" t="inlineStr">
        <is>
          <t>Sistema</t>
        </is>
      </c>
      <c r="B47" s="42" t="inlineStr">
        <is>
          <t>Administración</t>
        </is>
      </c>
      <c r="C47" s="42" t="inlineStr">
        <is>
          <t>Gestión Pacientes</t>
        </is>
      </c>
      <c r="D47" s="42" t="inlineStr">
        <is>
          <t>Buscar paciente desde administración</t>
        </is>
      </c>
      <c r="E47" s="42" t="inlineStr">
        <is>
          <t>ADM-08</t>
        </is>
      </c>
      <c r="F47" s="42" t="inlineStr">
        <is>
          <t>Buscar paciente por nombre o documento desde el panel de Admin</t>
        </is>
      </c>
      <c r="G47" s="42" t="inlineStr">
        <is>
          <t>GET /api/admin/patients?term=Juan</t>
        </is>
      </c>
      <c r="H47" s="42" t="inlineStr">
        <is>
          <t>El sistema retorna lista de pacientes que coincidan con el término (nombre o documento). Incluye scheduledAppointmentsCount y hasUserAccount.</t>
        </is>
      </c>
      <c r="I47" s="42" t="inlineStr">
        <is>
          <t>Solo rol Admin. Al menos un paciente en BD con ese término.</t>
        </is>
      </c>
      <c r="J47" s="42" t="inlineStr">
        <is>
          <t>Admin</t>
        </is>
      </c>
      <c r="K47" s="43" t="inlineStr">
        <is>
          <t>X</t>
        </is>
      </c>
      <c r="L47" s="44" t="inlineStr">
        <is>
          <t>EA</t>
        </is>
      </c>
      <c r="M47" s="42" t="n"/>
      <c r="N47" s="42" t="inlineStr">
        <is>
          <t>Juan Felipe Ramirez</t>
        </is>
      </c>
      <c r="O47" s="44" t="inlineStr">
        <is>
          <t>PDTE</t>
        </is>
      </c>
      <c r="P47" s="42" t="n"/>
      <c r="Q47" s="42" t="n"/>
      <c r="R47" s="44" t="inlineStr">
        <is>
          <t>PDTE</t>
        </is>
      </c>
      <c r="S47" s="42" t="n"/>
      <c r="T47" s="42" t="n"/>
    </row>
    <row r="48" ht="51.75" customHeight="1" s="35">
      <c r="A48" s="45" t="inlineStr">
        <is>
          <t>Sistema</t>
        </is>
      </c>
      <c r="B48" s="45" t="inlineStr">
        <is>
          <t>Administración</t>
        </is>
      </c>
      <c r="C48" s="45" t="inlineStr">
        <is>
          <t>Gestión Pacientes</t>
        </is>
      </c>
      <c r="D48" s="45" t="inlineStr">
        <is>
          <t>Actualizar datos de un paciente</t>
        </is>
      </c>
      <c r="E48" s="45" t="inlineStr">
        <is>
          <t>ADM-09</t>
        </is>
      </c>
      <c r="F48" s="45" t="inlineStr">
        <is>
          <t>Corregir el número de teléfono de un paciente desde Admin</t>
        </is>
      </c>
      <c r="G48" s="45" t="inlineStr">
        <is>
          <t>PUT /api/admin/patients/{patientId} con datos actualizados</t>
        </is>
      </c>
      <c r="H48" s="45" t="inlineStr">
        <is>
          <t>El sistema retorna 200 OK con PatientLookupResponse actualizado. Los cambios son inmediatos en BD.</t>
        </is>
      </c>
      <c r="I48" s="45" t="inlineStr">
        <is>
          <t>Solo rol Admin. Paciente existente con ID válido.</t>
        </is>
      </c>
      <c r="J48" s="45" t="inlineStr">
        <is>
          <t>Admin</t>
        </is>
      </c>
      <c r="K48" s="46" t="inlineStr">
        <is>
          <t>X</t>
        </is>
      </c>
      <c r="L48" s="44" t="inlineStr">
        <is>
          <t>EA</t>
        </is>
      </c>
      <c r="M48" s="45" t="n"/>
      <c r="N48" s="45" t="inlineStr">
        <is>
          <t>Juan Felipe Ramirez</t>
        </is>
      </c>
      <c r="O48" s="44" t="inlineStr">
        <is>
          <t>PDTE</t>
        </is>
      </c>
      <c r="P48" s="45" t="n"/>
      <c r="Q48" s="45" t="n"/>
      <c r="R48" s="44" t="inlineStr">
        <is>
          <t>PDTE</t>
        </is>
      </c>
      <c r="S48" s="45" t="n"/>
      <c r="T48" s="45" t="n"/>
    </row>
    <row r="49" ht="51.75" customHeight="1" s="35">
      <c r="A49" s="42" t="inlineStr">
        <is>
          <t>Sistema</t>
        </is>
      </c>
      <c r="B49" s="42" t="inlineStr">
        <is>
          <t>Administración</t>
        </is>
      </c>
      <c r="C49" s="42" t="inlineStr">
        <is>
          <t>Control de Acceso</t>
        </is>
      </c>
      <c r="D49" s="42" t="inlineStr">
        <is>
          <t>Acceso de Scheduler a rutas de Admin</t>
        </is>
      </c>
      <c r="E49" s="42" t="inlineStr">
        <is>
          <t>ADM-10</t>
        </is>
      </c>
      <c r="F49" s="42" t="inlineStr">
        <is>
          <t>Intentar que un Scheduler acceda a endpoints exclusivos de Admin</t>
        </is>
      </c>
      <c r="G49" s="42" t="inlineStr">
        <is>
          <t>El actor Scheduler intenta DELETE /api/admin/provider-schedules/{id}</t>
        </is>
      </c>
      <c r="H49" s="42" t="inlineStr">
        <is>
          <t>El sistema retorna 403 Forbidden. El proveedor no es eliminado.</t>
        </is>
      </c>
      <c r="I49" s="42" t="inlineStr">
        <is>
          <t>Sesión activa con rol Scheduler</t>
        </is>
      </c>
      <c r="J49" s="42" t="inlineStr">
        <is>
          <t>Scheduler</t>
        </is>
      </c>
      <c r="K49" s="43" t="inlineStr">
        <is>
          <t>X</t>
        </is>
      </c>
      <c r="L49" s="44" t="inlineStr">
        <is>
          <t>EA</t>
        </is>
      </c>
      <c r="M49" s="42" t="n"/>
      <c r="N49" s="42" t="inlineStr">
        <is>
          <t>Juan Felipe Ramirez</t>
        </is>
      </c>
      <c r="O49" s="44" t="inlineStr">
        <is>
          <t>PDTE</t>
        </is>
      </c>
      <c r="P49" s="42" t="n"/>
      <c r="Q49" s="42" t="n"/>
      <c r="R49" s="44" t="inlineStr">
        <is>
          <t>PDTE</t>
        </is>
      </c>
      <c r="S49" s="42" t="n"/>
      <c r="T49" s="42" t="n"/>
    </row>
    <row r="50" ht="19.5" customHeight="1" s="35">
      <c r="A50" s="47" t="inlineStr">
        <is>
          <t>Total casos de prueba: 45</t>
        </is>
      </c>
      <c r="L50" s="48">
        <f>COUNTIF(L5:L49,"EA")</f>
        <v/>
      </c>
      <c r="O50" s="48">
        <f>COUNTIF(O5:O49,"EA")</f>
        <v/>
      </c>
      <c r="R50" s="48">
        <f>COUNTIF(R5:R49,"EA")</f>
        <v/>
      </c>
    </row>
  </sheetData>
  <mergeCells count="6">
    <mergeCell ref="A1:T1"/>
    <mergeCell ref="A50:K50"/>
    <mergeCell ref="A3:K3"/>
    <mergeCell ref="R3:T3"/>
    <mergeCell ref="L3:N3"/>
    <mergeCell ref="O3:Q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34" min="1" max="1"/>
    <col width="6" customWidth="1" style="34" min="2" max="2"/>
    <col width="36" customWidth="1" style="34" min="3" max="5"/>
  </cols>
  <sheetData>
    <row r="1" ht="15" customHeight="1" s="35">
      <c r="A1" s="49" t="inlineStr">
        <is>
          <t>Matriz de Requerimiento de Pruebas – Datos de Prueba</t>
        </is>
      </c>
    </row>
    <row r="2"/>
    <row r="3" ht="24" customHeight="1" s="35">
      <c r="A3" s="50" t="inlineStr">
        <is>
          <t>ID Caso</t>
        </is>
      </c>
      <c r="B3" s="50" t="inlineStr">
        <is>
          <t>Paso</t>
        </is>
      </c>
      <c r="C3" s="50" t="inlineStr">
        <is>
          <t>Campo</t>
        </is>
      </c>
      <c r="D3" s="50" t="inlineStr">
        <is>
          <t>Valor / Dato de Prueba</t>
        </is>
      </c>
      <c r="E3" s="50" t="inlineStr">
        <is>
          <t>Observación</t>
        </is>
      </c>
    </row>
    <row r="4" ht="18" customHeight="1" s="35">
      <c r="A4" s="51" t="inlineStr">
        <is>
          <t>PUB-05</t>
        </is>
      </c>
      <c r="B4" s="51" t="inlineStr">
        <is>
          <t>1</t>
        </is>
      </c>
      <c r="C4" s="51" t="inlineStr">
        <is>
          <t>providerId</t>
        </is>
      </c>
      <c r="D4" s="51" t="inlineStr">
        <is>
          <t>&lt;GUID del proveedor activo&gt;</t>
        </is>
      </c>
      <c r="E4" s="51" t="inlineStr">
        <is>
          <t>Obtener de GET /api/public/providers</t>
        </is>
      </c>
    </row>
    <row r="5" ht="18" customHeight="1" s="35">
      <c r="A5" s="52" t="inlineStr">
        <is>
          <t>PUB-05</t>
        </is>
      </c>
      <c r="B5" s="52" t="inlineStr">
        <is>
          <t>1</t>
        </is>
      </c>
      <c r="C5" s="52" t="inlineStr">
        <is>
          <t>appointmentDate</t>
        </is>
      </c>
      <c r="D5" s="52" t="inlineStr">
        <is>
          <t>2026-05-20</t>
        </is>
      </c>
      <c r="E5" s="52" t="inlineStr">
        <is>
          <t>Fecha dentro de ventana de 6 semanas</t>
        </is>
      </c>
    </row>
    <row r="6" ht="18" customHeight="1" s="35">
      <c r="A6" s="51" t="inlineStr">
        <is>
          <t>PUB-05</t>
        </is>
      </c>
      <c r="B6" s="51" t="inlineStr">
        <is>
          <t>1</t>
        </is>
      </c>
      <c r="C6" s="51" t="inlineStr">
        <is>
          <t>startTime</t>
        </is>
      </c>
      <c r="D6" s="51" t="inlineStr">
        <is>
          <t>09:00</t>
        </is>
      </c>
      <c r="E6" s="51" t="inlineStr">
        <is>
          <t>Slot disponible</t>
        </is>
      </c>
    </row>
    <row r="7" ht="18" customHeight="1" s="35">
      <c r="A7" s="52" t="inlineStr">
        <is>
          <t>PUB-05</t>
        </is>
      </c>
      <c r="B7" s="52" t="inlineStr">
        <is>
          <t>1</t>
        </is>
      </c>
      <c r="C7" s="52" t="inlineStr">
        <is>
          <t>documentNumber</t>
        </is>
      </c>
      <c r="D7" s="52" t="inlineStr">
        <is>
          <t>9876543210</t>
        </is>
      </c>
      <c r="E7" s="52" t="inlineStr">
        <is>
          <t>Paciente nuevo</t>
        </is>
      </c>
    </row>
    <row r="8" ht="18" customHeight="1" s="35">
      <c r="A8" s="51" t="inlineStr">
        <is>
          <t>PUB-05</t>
        </is>
      </c>
      <c r="B8" s="51" t="inlineStr">
        <is>
          <t>1</t>
        </is>
      </c>
      <c r="C8" s="51" t="inlineStr">
        <is>
          <t>firstName</t>
        </is>
      </c>
      <c r="D8" s="51" t="inlineStr">
        <is>
          <t>Laura</t>
        </is>
      </c>
      <c r="E8" s="51" t="n"/>
    </row>
    <row r="9" ht="18" customHeight="1" s="35">
      <c r="A9" s="52" t="inlineStr">
        <is>
          <t>PUB-05</t>
        </is>
      </c>
      <c r="B9" s="52" t="inlineStr">
        <is>
          <t>1</t>
        </is>
      </c>
      <c r="C9" s="52" t="inlineStr">
        <is>
          <t>lastName</t>
        </is>
      </c>
      <c r="D9" s="52" t="inlineStr">
        <is>
          <t>Martínez</t>
        </is>
      </c>
      <c r="E9" s="52" t="n"/>
    </row>
    <row r="10" ht="18" customHeight="1" s="35">
      <c r="A10" s="51" t="inlineStr">
        <is>
          <t>PUB-05</t>
        </is>
      </c>
      <c r="B10" s="51" t="inlineStr">
        <is>
          <t>1</t>
        </is>
      </c>
      <c r="C10" s="51" t="inlineStr">
        <is>
          <t>phone</t>
        </is>
      </c>
      <c r="D10" s="51" t="inlineStr">
        <is>
          <t>3001234567</t>
        </is>
      </c>
      <c r="E10" s="51" t="n"/>
    </row>
    <row r="11" ht="18" customHeight="1" s="35">
      <c r="A11" s="52" t="inlineStr">
        <is>
          <t>PUB-05</t>
        </is>
      </c>
      <c r="B11" s="52" t="inlineStr">
        <is>
          <t>1</t>
        </is>
      </c>
      <c r="C11" s="52" t="inlineStr">
        <is>
          <t>gender</t>
        </is>
      </c>
      <c r="D11" s="52" t="inlineStr">
        <is>
          <t>Female</t>
        </is>
      </c>
      <c r="E11" s="52" t="n"/>
    </row>
    <row r="12" ht="18" customHeight="1" s="35">
      <c r="A12" s="51" t="inlineStr">
        <is>
          <t>PUB-05</t>
        </is>
      </c>
      <c r="B12" s="51" t="inlineStr">
        <is>
          <t>1</t>
        </is>
      </c>
      <c r="C12" s="51" t="inlineStr">
        <is>
          <t>bookAsGuest</t>
        </is>
      </c>
      <c r="D12" s="51" t="inlineStr">
        <is>
          <t>true</t>
        </is>
      </c>
      <c r="E12" s="51" t="n"/>
    </row>
    <row r="13" ht="18" customHeight="1" s="35">
      <c r="A13" s="52" t="inlineStr">
        <is>
          <t>AUT-03</t>
        </is>
      </c>
      <c r="B13" s="52" t="inlineStr">
        <is>
          <t>1</t>
        </is>
      </c>
      <c r="C13" s="52" t="inlineStr">
        <is>
          <t>documentNumber</t>
        </is>
      </c>
      <c r="D13" s="52" t="inlineStr">
        <is>
          <t>1000000001</t>
        </is>
      </c>
      <c r="E13" s="52" t="inlineStr">
        <is>
          <t>Cuenta demo seeded</t>
        </is>
      </c>
    </row>
    <row r="14" ht="18" customHeight="1" s="35">
      <c r="A14" s="51" t="inlineStr">
        <is>
          <t>AUT-03</t>
        </is>
      </c>
      <c r="B14" s="51" t="inlineStr">
        <is>
          <t>1</t>
        </is>
      </c>
      <c r="C14" s="51" t="inlineStr">
        <is>
          <t>password</t>
        </is>
      </c>
      <c r="D14" s="51" t="inlineStr">
        <is>
          <t>Paciente123*</t>
        </is>
      </c>
      <c r="E14" s="51" t="inlineStr">
        <is>
          <t>Contraseña hasheada en localStorage</t>
        </is>
      </c>
    </row>
    <row r="15" ht="18" customHeight="1" s="35">
      <c r="A15" s="52" t="inlineStr">
        <is>
          <t>AUT-05</t>
        </is>
      </c>
      <c r="B15" s="52" t="inlineStr">
        <is>
          <t>1</t>
        </is>
      </c>
      <c r="C15" s="52" t="inlineStr">
        <is>
          <t>email</t>
        </is>
      </c>
      <c r="D15" s="52" t="inlineStr">
        <is>
          <t>admin@piedrazul.local</t>
        </is>
      </c>
      <c r="E15" s="52" t="n"/>
    </row>
    <row r="16" ht="18" customHeight="1" s="35">
      <c r="A16" s="51" t="inlineStr">
        <is>
          <t>AUT-05</t>
        </is>
      </c>
      <c r="B16" s="51" t="inlineStr">
        <is>
          <t>1</t>
        </is>
      </c>
      <c r="C16" s="51" t="inlineStr">
        <is>
          <t>password</t>
        </is>
      </c>
      <c r="D16" s="51" t="inlineStr">
        <is>
          <t>Admin123*</t>
        </is>
      </c>
      <c r="E16" s="51" t="n"/>
    </row>
    <row r="17" ht="18" customHeight="1" s="35">
      <c r="A17" s="52" t="inlineStr">
        <is>
          <t>INT-03</t>
        </is>
      </c>
      <c r="B17" s="52" t="inlineStr">
        <is>
          <t>1</t>
        </is>
      </c>
      <c r="C17" s="52" t="inlineStr">
        <is>
          <t>providerId</t>
        </is>
      </c>
      <c r="D17" s="52" t="inlineStr">
        <is>
          <t>&lt;GUID&gt;</t>
        </is>
      </c>
      <c r="E17" s="52" t="n"/>
    </row>
    <row r="18" ht="18" customHeight="1" s="35">
      <c r="A18" s="51" t="inlineStr">
        <is>
          <t>INT-03</t>
        </is>
      </c>
      <c r="B18" s="51" t="inlineStr">
        <is>
          <t>1</t>
        </is>
      </c>
      <c r="C18" s="51" t="inlineStr">
        <is>
          <t>appointmentDate</t>
        </is>
      </c>
      <c r="D18" s="51" t="inlineStr">
        <is>
          <t>2026-05-21</t>
        </is>
      </c>
      <c r="E18" s="51" t="n"/>
    </row>
    <row r="19" ht="18" customHeight="1" s="35">
      <c r="A19" s="52" t="inlineStr">
        <is>
          <t>INT-03</t>
        </is>
      </c>
      <c r="B19" s="52" t="inlineStr">
        <is>
          <t>1</t>
        </is>
      </c>
      <c r="C19" s="52" t="inlineStr">
        <is>
          <t>startTime</t>
        </is>
      </c>
      <c r="D19" s="52" t="inlineStr">
        <is>
          <t>10:00</t>
        </is>
      </c>
      <c r="E19" s="52" t="n"/>
    </row>
    <row r="20" ht="18" customHeight="1" s="35">
      <c r="A20" s="51" t="inlineStr">
        <is>
          <t>INT-03</t>
        </is>
      </c>
      <c r="B20" s="51" t="inlineStr">
        <is>
          <t>1</t>
        </is>
      </c>
      <c r="C20" s="51" t="inlineStr">
        <is>
          <t>documentNumber</t>
        </is>
      </c>
      <c r="D20" s="51" t="inlineStr">
        <is>
          <t>1122334455</t>
        </is>
      </c>
      <c r="E20" s="51" t="n"/>
    </row>
    <row r="21" ht="18" customHeight="1" s="35">
      <c r="A21" s="52" t="inlineStr">
        <is>
          <t>INT-03</t>
        </is>
      </c>
      <c r="B21" s="52" t="inlineStr">
        <is>
          <t>1</t>
        </is>
      </c>
      <c r="C21" s="52" t="inlineStr">
        <is>
          <t>firstName</t>
        </is>
      </c>
      <c r="D21" s="52" t="inlineStr">
        <is>
          <t>Carlos</t>
        </is>
      </c>
      <c r="E21" s="52" t="n"/>
    </row>
    <row r="22" ht="18" customHeight="1" s="35">
      <c r="A22" s="51" t="inlineStr">
        <is>
          <t>INT-03</t>
        </is>
      </c>
      <c r="B22" s="51" t="inlineStr">
        <is>
          <t>1</t>
        </is>
      </c>
      <c r="C22" s="51" t="inlineStr">
        <is>
          <t>lastName</t>
        </is>
      </c>
      <c r="D22" s="51" t="inlineStr">
        <is>
          <t>Ruiz</t>
        </is>
      </c>
      <c r="E22" s="51" t="n"/>
    </row>
    <row r="23" ht="18" customHeight="1" s="35">
      <c r="A23" s="52" t="inlineStr">
        <is>
          <t>INT-03</t>
        </is>
      </c>
      <c r="B23" s="52" t="inlineStr">
        <is>
          <t>1</t>
        </is>
      </c>
      <c r="C23" s="52" t="inlineStr">
        <is>
          <t>phone</t>
        </is>
      </c>
      <c r="D23" s="52" t="inlineStr">
        <is>
          <t>3109876543</t>
        </is>
      </c>
      <c r="E23" s="52" t="n"/>
    </row>
    <row r="24" ht="18" customHeight="1" s="35">
      <c r="A24" s="51" t="inlineStr">
        <is>
          <t>INT-03</t>
        </is>
      </c>
      <c r="B24" s="51" t="inlineStr">
        <is>
          <t>1</t>
        </is>
      </c>
      <c r="C24" s="51" t="inlineStr">
        <is>
          <t>gender</t>
        </is>
      </c>
      <c r="D24" s="51" t="inlineStr">
        <is>
          <t>Male</t>
        </is>
      </c>
      <c r="E24" s="51" t="n"/>
    </row>
    <row r="25" ht="18" customHeight="1" s="35">
      <c r="A25" s="52" t="inlineStr">
        <is>
          <t>INT-03</t>
        </is>
      </c>
      <c r="B25" s="52" t="inlineStr">
        <is>
          <t>1</t>
        </is>
      </c>
      <c r="C25" s="52" t="inlineStr">
        <is>
          <t>channel</t>
        </is>
      </c>
      <c r="D25" s="52" t="inlineStr">
        <is>
          <t>WhatsApp</t>
        </is>
      </c>
      <c r="E25" s="52" t="inlineStr">
        <is>
          <t>Canales: Web, WhatsApp, Phone, Internal</t>
        </is>
      </c>
    </row>
    <row r="26" ht="18" customHeight="1" s="35">
      <c r="A26" s="51" t="inlineStr">
        <is>
          <t>ADM-05</t>
        </is>
      </c>
      <c r="B26" s="51" t="inlineStr">
        <is>
          <t>1</t>
        </is>
      </c>
      <c r="C26" s="51" t="inlineStr">
        <is>
          <t>firstName</t>
        </is>
      </c>
      <c r="D26" s="51" t="inlineStr">
        <is>
          <t>Ana</t>
        </is>
      </c>
      <c r="E26" s="51" t="n"/>
    </row>
    <row r="27" ht="18" customHeight="1" s="35">
      <c r="A27" s="52" t="inlineStr">
        <is>
          <t>ADM-05</t>
        </is>
      </c>
      <c r="B27" s="52" t="inlineStr">
        <is>
          <t>1</t>
        </is>
      </c>
      <c r="C27" s="52" t="inlineStr">
        <is>
          <t>lastName</t>
        </is>
      </c>
      <c r="D27" s="52" t="inlineStr">
        <is>
          <t>Torres</t>
        </is>
      </c>
      <c r="E27" s="52" t="n"/>
    </row>
    <row r="28" ht="18" customHeight="1" s="35">
      <c r="A28" s="51" t="inlineStr">
        <is>
          <t>ADM-05</t>
        </is>
      </c>
      <c r="B28" s="51" t="inlineStr">
        <is>
          <t>1</t>
        </is>
      </c>
      <c r="C28" s="51" t="inlineStr">
        <is>
          <t>specialty</t>
        </is>
      </c>
      <c r="D28" s="51" t="inlineStr">
        <is>
          <t>Medicina General</t>
        </is>
      </c>
      <c r="E28" s="51" t="n"/>
    </row>
    <row r="29" ht="18" customHeight="1" s="35">
      <c r="A29" s="52" t="inlineStr">
        <is>
          <t>ADM-05</t>
        </is>
      </c>
      <c r="B29" s="52" t="inlineStr">
        <is>
          <t>1</t>
        </is>
      </c>
      <c r="C29" s="52" t="inlineStr">
        <is>
          <t>defaultSlotIntervalMinutes</t>
        </is>
      </c>
      <c r="D29" s="52" t="inlineStr">
        <is>
          <t>30</t>
        </is>
      </c>
      <c r="E29" s="52" t="n"/>
    </row>
    <row r="30" ht="18" customHeight="1" s="35">
      <c r="A30" s="51" t="inlineStr">
        <is>
          <t>ADM-05</t>
        </is>
      </c>
      <c r="B30" s="51" t="inlineStr">
        <is>
          <t>1</t>
        </is>
      </c>
      <c r="C30" s="51" t="inlineStr">
        <is>
          <t>weeklyAvailabilities[0].dayOfWeek</t>
        </is>
      </c>
      <c r="D30" s="51" t="inlineStr">
        <is>
          <t>1</t>
        </is>
      </c>
      <c r="E30" s="51" t="inlineStr">
        <is>
          <t>Lunes=1</t>
        </is>
      </c>
    </row>
    <row r="31" ht="18" customHeight="1" s="35">
      <c r="A31" s="52" t="inlineStr">
        <is>
          <t>ADM-05</t>
        </is>
      </c>
      <c r="B31" s="52" t="inlineStr">
        <is>
          <t>1</t>
        </is>
      </c>
      <c r="C31" s="52" t="inlineStr">
        <is>
          <t>weeklyAvailabilities[0].startTime</t>
        </is>
      </c>
      <c r="D31" s="52" t="inlineStr">
        <is>
          <t>08:00</t>
        </is>
      </c>
      <c r="E31" s="52" t="n"/>
    </row>
    <row r="32" ht="18" customHeight="1" s="35">
      <c r="A32" s="51" t="inlineStr">
        <is>
          <t>ADM-05</t>
        </is>
      </c>
      <c r="B32" s="51" t="inlineStr">
        <is>
          <t>1</t>
        </is>
      </c>
      <c r="C32" s="51" t="inlineStr">
        <is>
          <t>weeklyAvailabilities[0].endTime</t>
        </is>
      </c>
      <c r="D32" s="51" t="inlineStr">
        <is>
          <t>17:00</t>
        </is>
      </c>
      <c r="E32" s="51" t="n"/>
    </row>
    <row r="33" ht="18" customHeight="1" s="35">
      <c r="A33" s="52" t="inlineStr">
        <is>
          <t>ADM-05</t>
        </is>
      </c>
      <c r="B33" s="52" t="inlineStr">
        <is>
          <t>1</t>
        </is>
      </c>
      <c r="C33" s="52" t="inlineStr">
        <is>
          <t>weeklyAvailabilities[0].slotIntervalMinutes</t>
        </is>
      </c>
      <c r="D33" s="52" t="inlineStr">
        <is>
          <t>30</t>
        </is>
      </c>
      <c r="E33" s="52" t="n"/>
    </row>
    <row r="34" ht="18" customHeight="1" s="35">
      <c r="A34" s="51" t="inlineStr">
        <is>
          <t>ADM-05</t>
        </is>
      </c>
      <c r="B34" s="51" t="inlineStr">
        <is>
          <t>1</t>
        </is>
      </c>
      <c r="C34" s="51" t="inlineStr">
        <is>
          <t>weeklyAvailabilities[0].isActive</t>
        </is>
      </c>
      <c r="D34" s="51" t="inlineStr">
        <is>
          <t>true</t>
        </is>
      </c>
      <c r="E34" s="51" t="n"/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4" min="1" max="1"/>
    <col width="10" customWidth="1" style="34" min="2" max="2"/>
    <col width="60" customWidth="1" style="34" min="3" max="3"/>
    <col width="14" customWidth="1" style="34" min="4" max="4"/>
    <col width="16" customWidth="1" style="34" min="5" max="5"/>
    <col width="28" customWidth="1" style="34" min="6" max="6"/>
    <col width="10" customWidth="1" style="34" min="7" max="7"/>
    <col width="16" customWidth="1" style="34" min="8" max="8"/>
  </cols>
  <sheetData>
    <row r="1" ht="15" customHeight="1" s="35">
      <c r="A1" s="49" t="inlineStr">
        <is>
          <t>Matriz de Requerimiento de Pruebas – Incidencias Verificación</t>
        </is>
      </c>
    </row>
    <row r="2" ht="31.5" customHeight="1" s="35">
      <c r="A2" s="50" t="inlineStr">
        <is>
          <t>Módulo</t>
        </is>
      </c>
      <c r="B2" s="50" t="inlineStr">
        <is>
          <t>ID del Caso</t>
        </is>
      </c>
      <c r="C2" s="50" t="inlineStr">
        <is>
          <t>Descripción de la NC (DONDE / CUANDO / HALLAZGO / SE ESPERA)</t>
        </is>
      </c>
      <c r="D2" s="50" t="inlineStr">
        <is>
          <t>Clasificación NC</t>
        </is>
      </c>
      <c r="E2" s="50" t="inlineStr">
        <is>
          <t>Requerimiento (ID Jira)</t>
        </is>
      </c>
      <c r="F2" s="50" t="inlineStr">
        <is>
          <t>Observación</t>
        </is>
      </c>
      <c r="G2" s="50" t="inlineStr">
        <is>
          <t>Iteración</t>
        </is>
      </c>
      <c r="H2" s="50" t="inlineStr">
        <is>
          <t>Responsable</t>
        </is>
      </c>
    </row>
    <row r="3" ht="60" customHeight="1" s="35">
      <c r="A3" s="42" t="n"/>
      <c r="B3" s="42" t="n"/>
      <c r="C3" s="42" t="inlineStr">
        <is>
          <t>(Registrar aquí cada NC cuyo estado sea ENA)
DONDE: &lt;módulo/componente&gt;
CUANDO: &lt;paso del caso de prueba&gt;
HALLAZGO: &lt;comportamiento observado&gt;
SE ESPERA: &lt;comportamiento esperado&gt;</t>
        </is>
      </c>
      <c r="D3" s="42" t="n"/>
      <c r="E3" s="42" t="n"/>
      <c r="F3" s="42" t="n"/>
      <c r="G3" s="42" t="n"/>
      <c r="H3" s="42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4" min="1" max="14"/>
  </cols>
  <sheetData>
    <row r="1" ht="15" customHeight="1" s="35">
      <c r="A1" s="49" t="inlineStr">
        <is>
          <t>Resultados por Iteración – Piedrazul</t>
        </is>
      </c>
    </row>
    <row r="2" ht="21.75" customHeight="1" s="35">
      <c r="A2" s="40" t="inlineStr">
        <is>
          <t>1ª Iteración</t>
        </is>
      </c>
    </row>
    <row r="3" ht="27.75" customHeight="1" s="35">
      <c r="A3" s="53" t="inlineStr">
        <is>
          <t>Req. Prueba</t>
        </is>
      </c>
      <c r="B3" s="53" t="inlineStr">
        <is>
          <t>Bloqueante</t>
        </is>
      </c>
      <c r="C3" s="53" t="inlineStr">
        <is>
          <t>Funcional</t>
        </is>
      </c>
      <c r="D3" s="53" t="inlineStr">
        <is>
          <t>Presentación</t>
        </is>
      </c>
      <c r="E3" s="53" t="inlineStr">
        <is>
          <t>Ejecutados</t>
        </is>
      </c>
      <c r="F3" s="53" t="inlineStr">
        <is>
          <t>EA</t>
        </is>
      </c>
      <c r="G3" s="53" t="inlineStr">
        <is>
          <t>ENA</t>
        </is>
      </c>
      <c r="H3" s="53" t="inlineStr">
        <is>
          <t>PDTE</t>
        </is>
      </c>
      <c r="I3" s="53" t="inlineStr">
        <is>
          <t>Correctitud</t>
        </is>
      </c>
      <c r="J3" s="53" t="inlineStr">
        <is>
          <t>Densidad NC</t>
        </is>
      </c>
      <c r="K3" s="53" t="inlineStr">
        <is>
          <t>Confiabilidad</t>
        </is>
      </c>
      <c r="L3" s="53" t="inlineStr">
        <is>
          <t>Completitud</t>
        </is>
      </c>
      <c r="M3" s="53" t="inlineStr">
        <is>
          <t>Ejecuta</t>
        </is>
      </c>
      <c r="N3" s="53" t="inlineStr">
        <is>
          <t>Fecha</t>
        </is>
      </c>
    </row>
    <row r="4" ht="21.75" customHeight="1" s="35">
      <c r="A4" s="54" t="n">
        <v>45</v>
      </c>
      <c r="B4" s="54" t="n">
        <v>0</v>
      </c>
      <c r="C4" s="54" t="n">
        <v>0</v>
      </c>
      <c r="D4" s="54" t="n">
        <v>0</v>
      </c>
      <c r="E4" s="54">
        <f>COUNTA('Casos de prueba'!L5:L49)</f>
        <v/>
      </c>
      <c r="F4" s="54">
        <f>COUNTIF('Casos de prueba'!L5:L49,"EA")</f>
        <v/>
      </c>
      <c r="G4" s="54">
        <f>COUNTIF('Casos de prueba'!L5:L49,"ENA")</f>
        <v/>
      </c>
      <c r="H4" s="54">
        <f>COUNTIF('Casos de prueba'!L5:L49,"PDTE")</f>
        <v/>
      </c>
      <c r="I4" s="55">
        <f>IF(E4=0,0,F4/E4)</f>
        <v/>
      </c>
      <c r="J4" s="55">
        <f>IF(E4=0,0,G4/E4)</f>
        <v/>
      </c>
      <c r="K4" s="55">
        <f>1-J4</f>
        <v/>
      </c>
      <c r="L4" s="55">
        <f>IF(45=0,0,E4/45)</f>
        <v/>
      </c>
      <c r="M4" s="56" t="inlineStr">
        <is>
          <t>Juan Felipe Ramirez</t>
        </is>
      </c>
      <c r="N4" s="56" t="inlineStr">
        <is>
          <t>2026-05-14</t>
        </is>
      </c>
    </row>
    <row r="5"/>
    <row r="6" ht="21.75" customHeight="1" s="35">
      <c r="A6" s="40" t="inlineStr">
        <is>
          <t>2ª Iteración</t>
        </is>
      </c>
    </row>
    <row r="7" ht="27.75" customHeight="1" s="35">
      <c r="A7" s="53" t="inlineStr">
        <is>
          <t>Req. Prueba</t>
        </is>
      </c>
      <c r="B7" s="53" t="inlineStr">
        <is>
          <t>Bloqueante</t>
        </is>
      </c>
      <c r="C7" s="53" t="inlineStr">
        <is>
          <t>Funcional</t>
        </is>
      </c>
      <c r="D7" s="53" t="inlineStr">
        <is>
          <t>Presentación</t>
        </is>
      </c>
      <c r="E7" s="53" t="inlineStr">
        <is>
          <t>Ejecutados</t>
        </is>
      </c>
      <c r="F7" s="53" t="inlineStr">
        <is>
          <t>EA</t>
        </is>
      </c>
      <c r="G7" s="53" t="inlineStr">
        <is>
          <t>ENA</t>
        </is>
      </c>
      <c r="H7" s="53" t="inlineStr">
        <is>
          <t>PDTE</t>
        </is>
      </c>
      <c r="I7" s="53" t="inlineStr">
        <is>
          <t>Correctitud</t>
        </is>
      </c>
      <c r="J7" s="53" t="inlineStr">
        <is>
          <t>Densidad NC</t>
        </is>
      </c>
      <c r="K7" s="53" t="inlineStr">
        <is>
          <t>Confiabilidad</t>
        </is>
      </c>
      <c r="L7" s="53" t="inlineStr">
        <is>
          <t>Completitud</t>
        </is>
      </c>
      <c r="M7" s="53" t="inlineStr">
        <is>
          <t>Ejecuta</t>
        </is>
      </c>
      <c r="N7" s="53" t="inlineStr">
        <is>
          <t>Fecha</t>
        </is>
      </c>
    </row>
    <row r="8" ht="21.75" customHeight="1" s="35">
      <c r="A8" s="54" t="n">
        <v>45</v>
      </c>
      <c r="B8" s="54" t="n">
        <v>0</v>
      </c>
      <c r="C8" s="54" t="n">
        <v>0</v>
      </c>
      <c r="D8" s="54" t="n">
        <v>0</v>
      </c>
      <c r="E8" s="54">
        <f>COUNTA('Casos de prueba'!O5:O49)</f>
        <v/>
      </c>
      <c r="F8" s="54">
        <f>COUNTIF('Casos de prueba'!O5:O49,"EA")</f>
        <v/>
      </c>
      <c r="G8" s="54">
        <f>COUNTIF('Casos de prueba'!O5:O49,"ENA")</f>
        <v/>
      </c>
      <c r="H8" s="54">
        <f>COUNTIF('Casos de prueba'!O5:O49,"PDTE")</f>
        <v/>
      </c>
      <c r="I8" s="55">
        <f>IF(E8=0,0,F8/E8)</f>
        <v/>
      </c>
      <c r="J8" s="55">
        <f>IF(E8=0,0,G8/E8)</f>
        <v/>
      </c>
      <c r="K8" s="55">
        <f>1-J8</f>
        <v/>
      </c>
      <c r="L8" s="55">
        <f>IF(45=0,0,E8/45)</f>
        <v/>
      </c>
      <c r="M8" s="56" t="inlineStr">
        <is>
          <t>Juan Felipe Ramirez</t>
        </is>
      </c>
      <c r="N8" s="56" t="inlineStr">
        <is>
          <t>2026-05-14</t>
        </is>
      </c>
    </row>
    <row r="9"/>
    <row r="10" ht="21.75" customHeight="1" s="35">
      <c r="A10" s="40" t="inlineStr">
        <is>
          <t>3ª Iteración</t>
        </is>
      </c>
    </row>
    <row r="11" ht="27.75" customHeight="1" s="35">
      <c r="A11" s="53" t="inlineStr">
        <is>
          <t>Req. Prueba</t>
        </is>
      </c>
      <c r="B11" s="53" t="inlineStr">
        <is>
          <t>Bloqueante</t>
        </is>
      </c>
      <c r="C11" s="53" t="inlineStr">
        <is>
          <t>Funcional</t>
        </is>
      </c>
      <c r="D11" s="53" t="inlineStr">
        <is>
          <t>Presentación</t>
        </is>
      </c>
      <c r="E11" s="53" t="inlineStr">
        <is>
          <t>Ejecutados</t>
        </is>
      </c>
      <c r="F11" s="53" t="inlineStr">
        <is>
          <t>EA</t>
        </is>
      </c>
      <c r="G11" s="53" t="inlineStr">
        <is>
          <t>ENA</t>
        </is>
      </c>
      <c r="H11" s="53" t="inlineStr">
        <is>
          <t>PDTE</t>
        </is>
      </c>
      <c r="I11" s="53" t="inlineStr">
        <is>
          <t>Correctitud</t>
        </is>
      </c>
      <c r="J11" s="53" t="inlineStr">
        <is>
          <t>Densidad NC</t>
        </is>
      </c>
      <c r="K11" s="53" t="inlineStr">
        <is>
          <t>Confiabilidad</t>
        </is>
      </c>
      <c r="L11" s="53" t="inlineStr">
        <is>
          <t>Completitud</t>
        </is>
      </c>
      <c r="M11" s="53" t="inlineStr">
        <is>
          <t>Ejecuta</t>
        </is>
      </c>
      <c r="N11" s="53" t="inlineStr">
        <is>
          <t>Fecha</t>
        </is>
      </c>
    </row>
    <row r="12" ht="21.75" customHeight="1" s="35">
      <c r="A12" s="54" t="n">
        <v>45</v>
      </c>
      <c r="B12" s="54" t="n">
        <v>0</v>
      </c>
      <c r="C12" s="54" t="n">
        <v>0</v>
      </c>
      <c r="D12" s="54" t="n">
        <v>0</v>
      </c>
      <c r="E12" s="54">
        <f>COUNTA('Casos de prueba'!R5:R49)</f>
        <v/>
      </c>
      <c r="F12" s="54">
        <f>COUNTIF('Casos de prueba'!R5:R49,"EA")</f>
        <v/>
      </c>
      <c r="G12" s="54">
        <f>COUNTIF('Casos de prueba'!R5:R49,"ENA")</f>
        <v/>
      </c>
      <c r="H12" s="54">
        <f>COUNTIF('Casos de prueba'!R5:R49,"PDTE")</f>
        <v/>
      </c>
      <c r="I12" s="55">
        <f>IF(E12=0,0,F12/E12)</f>
        <v/>
      </c>
      <c r="J12" s="55">
        <f>IF(E12=0,0,G12/E12)</f>
        <v/>
      </c>
      <c r="K12" s="55">
        <f>1-J12</f>
        <v/>
      </c>
      <c r="L12" s="55">
        <f>IF(45=0,0,E12/45)</f>
        <v/>
      </c>
      <c r="M12" s="56" t="inlineStr">
        <is>
          <t>Juan Felipe Ramirez</t>
        </is>
      </c>
      <c r="N12" s="56" t="inlineStr">
        <is>
          <t>2026-05-14</t>
        </is>
      </c>
    </row>
    <row r="13"/>
    <row r="14"/>
    <row r="15" ht="18" customHeight="1" s="35">
      <c r="A15" s="47" t="inlineStr">
        <is>
          <t>Umbrales mínimos de liberación: Correctitud ≥ 95%  |  Confiabilidad ≥ 95%  |  Completitud ≥ 95%</t>
        </is>
      </c>
    </row>
  </sheetData>
  <mergeCells count="5">
    <mergeCell ref="A6:N6"/>
    <mergeCell ref="A2:N2"/>
    <mergeCell ref="A15:N15"/>
    <mergeCell ref="A10:N10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4" min="1" max="1"/>
    <col width="16" customWidth="1" style="34" min="2" max="2"/>
    <col width="10" customWidth="1" style="34" min="3" max="5"/>
    <col width="30" customWidth="1" style="34" min="6" max="6"/>
  </cols>
  <sheetData>
    <row r="1" ht="15" customHeight="1" s="35">
      <c r="A1" s="49" t="inlineStr">
        <is>
          <t>Matriz de Requerimiento de Pruebas – Certificado de Pruebas</t>
        </is>
      </c>
    </row>
    <row r="2"/>
    <row r="3" ht="18" customHeight="1" s="35">
      <c r="A3" s="57" t="inlineStr">
        <is>
          <t>Ingeniero:</t>
        </is>
      </c>
      <c r="B3" s="58" t="inlineStr">
        <is>
          <t>&lt;Nombre del docente / revisor&gt;</t>
        </is>
      </c>
    </row>
    <row r="4" ht="18" customHeight="1" s="35">
      <c r="A4" s="57" t="inlineStr">
        <is>
          <t>A quien va dirigido:</t>
        </is>
      </c>
      <c r="B4" s="58" t="inlineStr">
        <is>
          <t>Grupo de Pruebas de Software – FIET, Universidad del Cauca</t>
        </is>
      </c>
    </row>
    <row r="5" ht="18" customHeight="1" s="35">
      <c r="A5" s="57" t="inlineStr">
        <is>
          <t>Área:</t>
        </is>
      </c>
      <c r="B5" s="58" t="inlineStr">
        <is>
          <t>Ingeniería de Sistemas</t>
        </is>
      </c>
    </row>
    <row r="6" ht="18" customHeight="1" s="35">
      <c r="A6" s="57" t="inlineStr">
        <is>
          <t>Empresa / Proyecto:</t>
        </is>
      </c>
      <c r="B6" s="58" t="inlineStr">
        <is>
          <t>Piedrazul – Sistema de agendamiento de citas médicas (clínica Popayán)</t>
        </is>
      </c>
    </row>
    <row r="7"/>
    <row r="8" ht="15" customHeight="1" s="35">
      <c r="A8" s="59" t="inlineStr">
        <is>
          <t>1. PRODUCTO SOFTWARE</t>
        </is>
      </c>
    </row>
    <row r="9" ht="15" customHeight="1" s="35">
      <c r="A9" s="57" t="inlineStr">
        <is>
          <t>Nombre del producto:</t>
        </is>
      </c>
      <c r="B9" s="58" t="inlineStr">
        <is>
          <t>Piedrazul – Citas App</t>
        </is>
      </c>
    </row>
    <row r="10" ht="15" customHeight="1" s="35">
      <c r="A10" s="57" t="inlineStr">
        <is>
          <t>Versión:</t>
        </is>
      </c>
      <c r="B10" s="58" t="inlineStr">
        <is>
          <t>1.0  (Iteración 1)</t>
        </is>
      </c>
    </row>
    <row r="11" ht="15" customHeight="1" s="35">
      <c r="A11" s="57" t="inlineStr">
        <is>
          <t>Fecha:</t>
        </is>
      </c>
      <c r="B11" s="58" t="inlineStr">
        <is>
          <t>2026-05-14</t>
        </is>
      </c>
    </row>
    <row r="12" ht="15" customHeight="1" s="35">
      <c r="A12" s="57" t="inlineStr">
        <is>
          <t>Módulos:</t>
        </is>
      </c>
      <c r="B12" s="58" t="inlineStr">
        <is>
          <t>Portal Público | Autenticación | Portal Paciente | Portal Interno | Administración</t>
        </is>
      </c>
    </row>
    <row r="13" ht="15" customHeight="1" s="35">
      <c r="A13" s="57" t="inlineStr">
        <is>
          <t>Cliente:</t>
        </is>
      </c>
      <c r="B13" s="58" t="inlineStr">
        <is>
          <t>Clínica Piedrazul – Popayán, Colombia</t>
        </is>
      </c>
    </row>
    <row r="14"/>
    <row r="15" ht="15" customHeight="1" s="35">
      <c r="A15" s="59" t="inlineStr">
        <is>
          <t>2. CONDICIONES DE LIBERACIÓN</t>
        </is>
      </c>
    </row>
    <row r="16" ht="15" customHeight="1" s="35">
      <c r="A16" s="50" t="inlineStr">
        <is>
          <t>Criterio</t>
        </is>
      </c>
      <c r="B16" s="50" t="inlineStr">
        <is>
          <t>Descripción</t>
        </is>
      </c>
      <c r="C16" s="50" t="inlineStr">
        <is>
          <t>Mínimo</t>
        </is>
      </c>
    </row>
    <row r="17" ht="15" customHeight="1" s="35">
      <c r="A17" s="60" t="inlineStr">
        <is>
          <t>Correctitud</t>
        </is>
      </c>
      <c r="B17" s="54" t="inlineStr">
        <is>
          <t>% de funcionalidades que se comportan según el resultado esperado</t>
        </is>
      </c>
      <c r="C17" s="61" t="inlineStr">
        <is>
          <t>95%</t>
        </is>
      </c>
    </row>
    <row r="18" ht="15" customHeight="1" s="35">
      <c r="A18" s="60" t="inlineStr">
        <is>
          <t>Completitud</t>
        </is>
      </c>
      <c r="B18" s="54" t="inlineStr">
        <is>
          <t>% de casos de prueba diseñados y ejecutados</t>
        </is>
      </c>
      <c r="C18" s="61" t="inlineStr">
        <is>
          <t>95%</t>
        </is>
      </c>
    </row>
    <row r="19" ht="15" customHeight="1" s="35">
      <c r="A19" s="60" t="inlineStr">
        <is>
          <t>Confiabilidad</t>
        </is>
      </c>
      <c r="B19" s="54" t="inlineStr">
        <is>
          <t>100% Correctitud – Densidad de NC</t>
        </is>
      </c>
      <c r="C19" s="61" t="inlineStr">
        <is>
          <t>95%</t>
        </is>
      </c>
    </row>
    <row r="20"/>
    <row r="21" ht="15" customHeight="1" s="35">
      <c r="A21" s="59" t="inlineStr">
        <is>
          <t>3. ALCANCE DE LAS PRUEBAS</t>
        </is>
      </c>
    </row>
    <row r="22" ht="15" customHeight="1" s="35">
      <c r="A22" s="50" t="inlineStr">
        <is>
          <t>Módulo</t>
        </is>
      </c>
      <c r="B22" s="50" t="inlineStr">
        <is>
          <t>Casos de Prueba</t>
        </is>
      </c>
      <c r="C22" s="50" t="inlineStr">
        <is>
          <t>EA</t>
        </is>
      </c>
      <c r="D22" s="50" t="inlineStr">
        <is>
          <t>ENA</t>
        </is>
      </c>
      <c r="E22" s="50" t="inlineStr">
        <is>
          <t>PDTE</t>
        </is>
      </c>
      <c r="F22" s="50" t="inlineStr">
        <is>
          <t>Observación</t>
        </is>
      </c>
    </row>
    <row r="23" ht="18" customHeight="1" s="35">
      <c r="A23" s="52" t="inlineStr">
        <is>
          <t>Portal Público</t>
        </is>
      </c>
      <c r="B23" s="62" t="n">
        <v>9</v>
      </c>
      <c r="C23" s="62" t="inlineStr">
        <is>
          <t>PDTE</t>
        </is>
      </c>
      <c r="D23" s="62" t="n">
        <v>0</v>
      </c>
      <c r="E23" s="62" t="n">
        <v>9</v>
      </c>
      <c r="F23" s="62" t="n"/>
    </row>
    <row r="24" ht="18" customHeight="1" s="35">
      <c r="A24" s="51" t="inlineStr">
        <is>
          <t>Autenticación</t>
        </is>
      </c>
      <c r="B24" s="63" t="n">
        <v>8</v>
      </c>
      <c r="C24" s="63" t="inlineStr">
        <is>
          <t>PDTE</t>
        </is>
      </c>
      <c r="D24" s="63" t="n">
        <v>0</v>
      </c>
      <c r="E24" s="63" t="n">
        <v>8</v>
      </c>
      <c r="F24" s="63" t="n"/>
    </row>
    <row r="25" ht="18" customHeight="1" s="35">
      <c r="A25" s="52" t="inlineStr">
        <is>
          <t>Portal Paciente</t>
        </is>
      </c>
      <c r="B25" s="62" t="n">
        <v>6</v>
      </c>
      <c r="C25" s="62" t="inlineStr">
        <is>
          <t>PDTE</t>
        </is>
      </c>
      <c r="D25" s="62" t="n">
        <v>0</v>
      </c>
      <c r="E25" s="62" t="n">
        <v>6</v>
      </c>
      <c r="F25" s="62" t="n"/>
    </row>
    <row r="26" ht="18" customHeight="1" s="35">
      <c r="A26" s="51" t="inlineStr">
        <is>
          <t>Portal Interno</t>
        </is>
      </c>
      <c r="B26" s="63" t="n">
        <v>12</v>
      </c>
      <c r="C26" s="63" t="inlineStr">
        <is>
          <t>PDTE</t>
        </is>
      </c>
      <c r="D26" s="63" t="n">
        <v>0</v>
      </c>
      <c r="E26" s="63" t="n">
        <v>12</v>
      </c>
      <c r="F26" s="63" t="n"/>
    </row>
    <row r="27" ht="18" customHeight="1" s="35">
      <c r="A27" s="52" t="inlineStr">
        <is>
          <t>Administración</t>
        </is>
      </c>
      <c r="B27" s="62" t="n">
        <v>10</v>
      </c>
      <c r="C27" s="62" t="inlineStr">
        <is>
          <t>PDTE</t>
        </is>
      </c>
      <c r="D27" s="62" t="n">
        <v>0</v>
      </c>
      <c r="E27" s="62" t="n">
        <v>10</v>
      </c>
      <c r="F27" s="62" t="n"/>
    </row>
    <row r="28" ht="15" customHeight="1" s="35">
      <c r="A28" s="57" t="inlineStr">
        <is>
          <t>TOTAL</t>
        </is>
      </c>
      <c r="B28" s="64">
        <f>SUM(B23:B27)</f>
        <v/>
      </c>
    </row>
  </sheetData>
  <mergeCells count="4">
    <mergeCell ref="A8:F8"/>
    <mergeCell ref="A21:F21"/>
    <mergeCell ref="A1:F1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4" min="1" max="1"/>
    <col width="16" customWidth="1" style="34" min="2" max="2"/>
    <col width="18" customWidth="1" style="34" min="3" max="3"/>
    <col width="10" customWidth="1" style="34" min="4" max="4"/>
    <col width="22" customWidth="1" style="34" min="5" max="5"/>
    <col width="34" customWidth="1" style="34" min="6" max="7"/>
    <col width="12" customWidth="1" style="34" min="8" max="8"/>
    <col width="8" customWidth="1" style="34" min="9" max="9"/>
    <col width="18" customWidth="1" style="34" min="10" max="10"/>
    <col width="12" customWidth="1" style="34" min="11" max="11"/>
    <col width="8" customWidth="1" style="34" min="12" max="12"/>
    <col width="18" customWidth="1" style="34" min="13" max="13"/>
    <col width="12" customWidth="1" style="34" min="14" max="14"/>
    <col width="10" customWidth="1" style="34" min="15" max="15"/>
    <col width="20" customWidth="1" style="34" min="16" max="16"/>
  </cols>
  <sheetData>
    <row r="1" ht="15" customHeight="1" s="35">
      <c r="A1" s="49" t="inlineStr">
        <is>
          <t>Matriz de Validación (Pruebas de Aceptación) – Piedrazul</t>
        </is>
      </c>
    </row>
    <row r="2"/>
    <row r="3" ht="31.5" customHeight="1" s="35">
      <c r="A3" s="41" t="inlineStr">
        <is>
          <t>Tipo</t>
        </is>
      </c>
      <c r="B3" s="41" t="inlineStr">
        <is>
          <t>Módulo</t>
        </is>
      </c>
      <c r="C3" s="41" t="inlineStr">
        <is>
          <t>Submódulo</t>
        </is>
      </c>
      <c r="D3" s="41" t="inlineStr">
        <is>
          <t>ID Caso</t>
        </is>
      </c>
      <c r="E3" s="41" t="inlineStr">
        <is>
          <t>Nombre del Caso</t>
        </is>
      </c>
      <c r="F3" s="41" t="inlineStr">
        <is>
          <t>Descripción de Paso</t>
        </is>
      </c>
      <c r="G3" s="41" t="inlineStr">
        <is>
          <t>Resultado Esperado</t>
        </is>
      </c>
      <c r="H3" s="41" t="inlineStr">
        <is>
          <t>Perfil</t>
        </is>
      </c>
      <c r="I3" s="41" t="inlineStr">
        <is>
          <t>Est. 1ª It.</t>
        </is>
      </c>
      <c r="J3" s="41" t="inlineStr">
        <is>
          <t>Obs. 1ª It.</t>
        </is>
      </c>
      <c r="K3" s="41" t="inlineStr">
        <is>
          <t>Ej. 1ª It.</t>
        </is>
      </c>
      <c r="L3" s="41" t="inlineStr">
        <is>
          <t>Est. 2ª It.</t>
        </is>
      </c>
      <c r="M3" s="41" t="inlineStr">
        <is>
          <t>Obs. 2ª It.</t>
        </is>
      </c>
      <c r="N3" s="41" t="inlineStr">
        <is>
          <t>Ej. 2ª It.</t>
        </is>
      </c>
      <c r="O3" s="41" t="inlineStr">
        <is>
          <t>Estado Final</t>
        </is>
      </c>
      <c r="P3" s="41" t="inlineStr">
        <is>
          <t>Observación Final</t>
        </is>
      </c>
    </row>
    <row r="4" ht="48" customHeight="1" s="35">
      <c r="A4" s="42" t="inlineStr">
        <is>
          <t>Sistema</t>
        </is>
      </c>
      <c r="B4" s="42" t="inlineStr">
        <is>
          <t>Portal Público</t>
        </is>
      </c>
      <c r="C4" s="42" t="inlineStr">
        <is>
          <t>Información del Centro</t>
        </is>
      </c>
      <c r="D4" s="42" t="inlineStr">
        <is>
          <t>PUB-01</t>
        </is>
      </c>
      <c r="E4" s="42" t="inlineStr">
        <is>
          <t>Obtener información del centro médico</t>
        </is>
      </c>
      <c r="F4" s="42" t="inlineStr">
        <is>
          <t>El actor accede a GET /api/public/info sin credenciales</t>
        </is>
      </c>
      <c r="G4" s="42" t="inlineStr">
        <is>
          <t>El sistema retorna 200 OK con los campos: name, tagline, address, phone, attentionHours, about</t>
        </is>
      </c>
      <c r="H4" s="42" t="inlineStr">
        <is>
          <t>Anónimo</t>
        </is>
      </c>
      <c r="I4" s="44" t="inlineStr">
        <is>
          <t>PDTE</t>
        </is>
      </c>
      <c r="J4" s="43" t="n"/>
      <c r="K4" s="43" t="n"/>
      <c r="L4" s="44" t="inlineStr">
        <is>
          <t>PDTE</t>
        </is>
      </c>
      <c r="M4" s="43" t="n"/>
      <c r="N4" s="43" t="n"/>
      <c r="O4" s="44" t="inlineStr">
        <is>
          <t>PDTE</t>
        </is>
      </c>
      <c r="P4" s="43" t="n"/>
    </row>
    <row r="5" ht="48" customHeight="1" s="35">
      <c r="A5" s="45" t="inlineStr">
        <is>
          <t>Sistema</t>
        </is>
      </c>
      <c r="B5" s="45" t="inlineStr">
        <is>
          <t>Portal Público</t>
        </is>
      </c>
      <c r="C5" s="45" t="inlineStr">
        <is>
          <t>Proveedores</t>
        </is>
      </c>
      <c r="D5" s="45" t="inlineStr">
        <is>
          <t>PUB-02</t>
        </is>
      </c>
      <c r="E5" s="45" t="inlineStr">
        <is>
          <t>Listar médicos/proveedores activos</t>
        </is>
      </c>
      <c r="F5" s="45" t="inlineStr">
        <is>
          <t>El actor realiza GET /api/public/providers</t>
        </is>
      </c>
      <c r="G5" s="45" t="inlineStr">
        <is>
          <t>El sistema retorna 200 OK con lista de proveedores activos (id, fullName, specialty, defaultSlotIntervalMinutes). Proveedores inactivos no aparecen.</t>
        </is>
      </c>
      <c r="H5" s="45" t="inlineStr">
        <is>
          <t>Anónimo</t>
        </is>
      </c>
      <c r="I5" s="44" t="inlineStr">
        <is>
          <t>EA</t>
        </is>
      </c>
      <c r="J5" s="46" t="n"/>
      <c r="K5" s="46" t="inlineStr">
        <is>
          <t>Juan Felipe Ramirez</t>
        </is>
      </c>
      <c r="L5" s="44" t="inlineStr">
        <is>
          <t>PDTE</t>
        </is>
      </c>
      <c r="M5" s="46" t="n"/>
      <c r="N5" s="46" t="n"/>
      <c r="O5" s="44" t="inlineStr">
        <is>
          <t>EA</t>
        </is>
      </c>
      <c r="P5" s="46" t="n"/>
    </row>
    <row r="6" ht="48" customHeight="1" s="35">
      <c r="A6" s="42" t="inlineStr">
        <is>
          <t>Sistema</t>
        </is>
      </c>
      <c r="B6" s="42" t="inlineStr">
        <is>
          <t>Portal Público</t>
        </is>
      </c>
      <c r="C6" s="42" t="inlineStr">
        <is>
          <t>Disponibilidad</t>
        </is>
      </c>
      <c r="D6" s="42" t="inlineStr">
        <is>
          <t>PUB-03</t>
        </is>
      </c>
      <c r="E6" s="42" t="inlineStr">
        <is>
          <t>Consultar disponibilidad de un médico en fecha válida</t>
        </is>
      </c>
      <c r="F6" s="42" t="inlineStr">
        <is>
          <t>El actor realiza GET /api/public/providers/{providerId}/availability?date=YYYY-MM-DD con fecha dentro de la ventana configurada</t>
        </is>
      </c>
      <c r="G6" s="42" t="inlineStr">
        <is>
          <t>El sistema retorna 200 OK con lista de slots (startTime, endTime, available). Los slots ya ocupados muestran available=false</t>
        </is>
      </c>
      <c r="H6" s="42" t="inlineStr">
        <is>
          <t>Anónimo</t>
        </is>
      </c>
      <c r="I6" s="44" t="inlineStr">
        <is>
          <t>EA</t>
        </is>
      </c>
      <c r="J6" s="43" t="n"/>
      <c r="K6" s="43" t="inlineStr">
        <is>
          <t>Juan Felipe Ramirez</t>
        </is>
      </c>
      <c r="L6" s="44" t="inlineStr">
        <is>
          <t>PDTE</t>
        </is>
      </c>
      <c r="M6" s="43" t="n"/>
      <c r="N6" s="43" t="n"/>
      <c r="O6" s="44" t="inlineStr">
        <is>
          <t>EA</t>
        </is>
      </c>
      <c r="P6" s="43" t="n"/>
    </row>
    <row r="7" ht="48" customHeight="1" s="35">
      <c r="A7" s="45" t="inlineStr">
        <is>
          <t>Sistema</t>
        </is>
      </c>
      <c r="B7" s="45" t="inlineStr">
        <is>
          <t>Portal Público</t>
        </is>
      </c>
      <c r="C7" s="45" t="inlineStr">
        <is>
          <t>Agendamiento</t>
        </is>
      </c>
      <c r="D7" s="45" t="inlineStr">
        <is>
          <t>PUB-05</t>
        </is>
      </c>
      <c r="E7" s="45" t="inlineStr">
        <is>
          <t>Crear cita pública sin cuenta de paciente</t>
        </is>
      </c>
      <c r="F7" s="45" t="inlineStr">
        <is>
          <t>El actor realiza POST /api/public/appointments con datos completos: providerId, appointmentDate, startTime, documentNumber, firstName, lastName, phone, gender, bookAsGuest=true</t>
        </is>
      </c>
      <c r="G7" s="45" t="inlineStr">
        <is>
          <t>El sistema retorna 200 OK con la cita creada (id, providerName, startTime, status=Scheduled, channel=Web)</t>
        </is>
      </c>
      <c r="H7" s="45" t="inlineStr">
        <is>
          <t>Anónimo</t>
        </is>
      </c>
      <c r="I7" s="44" t="inlineStr">
        <is>
          <t>EA</t>
        </is>
      </c>
      <c r="J7" s="46" t="n"/>
      <c r="K7" s="46" t="inlineStr">
        <is>
          <t>Juan Felipe Ramirez</t>
        </is>
      </c>
      <c r="L7" s="44" t="inlineStr">
        <is>
          <t>PDTE</t>
        </is>
      </c>
      <c r="M7" s="46" t="n"/>
      <c r="N7" s="46" t="n"/>
      <c r="O7" s="44" t="inlineStr">
        <is>
          <t>EA</t>
        </is>
      </c>
      <c r="P7" s="46" t="n"/>
    </row>
    <row r="8" ht="48" customHeight="1" s="35">
      <c r="A8" s="42" t="inlineStr">
        <is>
          <t>Sistema</t>
        </is>
      </c>
      <c r="B8" s="42" t="inlineStr">
        <is>
          <t>Portal Público</t>
        </is>
      </c>
      <c r="C8" s="42" t="inlineStr">
        <is>
          <t>Búsqueda Pública</t>
        </is>
      </c>
      <c r="D8" s="42" t="inlineStr">
        <is>
          <t>PUB-08</t>
        </is>
      </c>
      <c r="E8" s="42" t="inlineStr">
        <is>
          <t>Buscar paciente por número de documento (existe)</t>
        </is>
      </c>
      <c r="F8" s="42" t="inlineStr">
        <is>
          <t>GET /api/public/patients/lookup?document=1000000001</t>
        </is>
      </c>
      <c r="G8" s="42" t="inlineStr">
        <is>
          <t>El sistema retorna exists=true con firstName, lastName, gender, BirthYear y datos enmascarados (maskedPhone, maskedEmail). NO retorna datos completos.</t>
        </is>
      </c>
      <c r="H8" s="42" t="inlineStr">
        <is>
          <t>Anónimo</t>
        </is>
      </c>
      <c r="I8" s="44" t="inlineStr">
        <is>
          <t>EA</t>
        </is>
      </c>
      <c r="J8" s="43" t="n"/>
      <c r="K8" s="43" t="inlineStr">
        <is>
          <t>Juan Felipe Ramirez</t>
        </is>
      </c>
      <c r="L8" s="44" t="inlineStr">
        <is>
          <t>PDTE</t>
        </is>
      </c>
      <c r="M8" s="43" t="n"/>
      <c r="N8" s="43" t="n"/>
      <c r="O8" s="44" t="inlineStr">
        <is>
          <t>EA</t>
        </is>
      </c>
      <c r="P8" s="43" t="n"/>
    </row>
    <row r="9" ht="48" customHeight="1" s="35">
      <c r="A9" s="45" t="inlineStr">
        <is>
          <t>Sistema</t>
        </is>
      </c>
      <c r="B9" s="45" t="inlineStr">
        <is>
          <t>Autenticación</t>
        </is>
      </c>
      <c r="C9" s="45" t="inlineStr">
        <is>
          <t>Registro</t>
        </is>
      </c>
      <c r="D9" s="45" t="inlineStr">
        <is>
          <t>AUT-01</t>
        </is>
      </c>
      <c r="E9" s="45" t="inlineStr">
        <is>
          <t>Registrar nueva cuenta de paciente con datos válidos</t>
        </is>
      </c>
      <c r="F9" s="45" t="inlineStr">
        <is>
          <t>El actor accede a /crear-cuenta, ingresa documentNumber, firstName, lastName, password válida y confirma registro</t>
        </is>
      </c>
      <c r="G9" s="45" t="inlineStr">
        <is>
          <t>Se crea la cuenta. El sistema redirige al portal de paciente con sesión activa. La contraseña se almacena con hash (no en texto plano).</t>
        </is>
      </c>
      <c r="H9" s="45" t="inlineStr">
        <is>
          <t>Paciente</t>
        </is>
      </c>
      <c r="I9" s="44" t="inlineStr">
        <is>
          <t>EA</t>
        </is>
      </c>
      <c r="J9" s="46" t="inlineStr">
        <is>
          <t>Cuenta creada con documento 1000000007.</t>
        </is>
      </c>
      <c r="K9" s="46" t="inlineStr">
        <is>
          <t>Juan Felipe Ramirez</t>
        </is>
      </c>
      <c r="L9" s="44" t="inlineStr">
        <is>
          <t>PDTE</t>
        </is>
      </c>
      <c r="M9" s="46" t="n"/>
      <c r="N9" s="46" t="n"/>
      <c r="O9" s="44" t="inlineStr">
        <is>
          <t>EA</t>
        </is>
      </c>
      <c r="P9" s="46" t="inlineStr">
        <is>
          <t>Cuenta creada con documento 1000000007.</t>
        </is>
      </c>
    </row>
    <row r="10" ht="48" customHeight="1" s="35">
      <c r="A10" s="42" t="inlineStr">
        <is>
          <t>Sistema</t>
        </is>
      </c>
      <c r="B10" s="42" t="inlineStr">
        <is>
          <t>Autenticación</t>
        </is>
      </c>
      <c r="C10" s="42" t="inlineStr">
        <is>
          <t>Login Paciente</t>
        </is>
      </c>
      <c r="D10" s="42" t="inlineStr">
        <is>
          <t>AUT-03</t>
        </is>
      </c>
      <c r="E10" s="42" t="inlineStr">
        <is>
          <t>Iniciar sesión en portal paciente con cédula y contraseña válidas</t>
        </is>
      </c>
      <c r="F10" s="42" t="inlineStr">
        <is>
          <t>El actor ingresa a /iniciar-sesion, digita documentNumber y contraseña correctos</t>
        </is>
      </c>
      <c r="G10" s="42" t="inlineStr">
        <is>
          <t>El sistema crea sesión y redirige al portal /portal/paciente. La sesión persiste en localStorage.</t>
        </is>
      </c>
      <c r="H10" s="42" t="inlineStr">
        <is>
          <t>Paciente</t>
        </is>
      </c>
      <c r="I10" s="44" t="inlineStr">
        <is>
          <t>EA</t>
        </is>
      </c>
      <c r="J10" s="43" t="inlineStr">
        <is>
          <t>Redirige a /portal/paciente con sesion activa.</t>
        </is>
      </c>
      <c r="K10" s="43" t="inlineStr">
        <is>
          <t>Juan Felipe Ramirez</t>
        </is>
      </c>
      <c r="L10" s="44" t="inlineStr">
        <is>
          <t>PDTE</t>
        </is>
      </c>
      <c r="M10" s="43" t="n"/>
      <c r="N10" s="43" t="n"/>
      <c r="O10" s="44" t="inlineStr">
        <is>
          <t>EA</t>
        </is>
      </c>
      <c r="P10" s="43" t="inlineStr">
        <is>
          <t>Redirige a /portal/paciente con sesion activa.</t>
        </is>
      </c>
    </row>
    <row r="11" ht="48" customHeight="1" s="35">
      <c r="A11" s="45" t="inlineStr">
        <is>
          <t>Sistema</t>
        </is>
      </c>
      <c r="B11" s="45" t="inlineStr">
        <is>
          <t>Autenticación</t>
        </is>
      </c>
      <c r="C11" s="45" t="inlineStr">
        <is>
          <t>Login Interno</t>
        </is>
      </c>
      <c r="D11" s="45" t="inlineStr">
        <is>
          <t>AUT-05</t>
        </is>
      </c>
      <c r="E11" s="45" t="inlineStr">
        <is>
          <t>Iniciar sesión en portal interno con correo y contraseña válidos</t>
        </is>
      </c>
      <c r="F11" s="45" t="inlineStr">
        <is>
          <t>El actor accede a /portal/interno/login, ingresa email y contraseña de cuenta interna (Admin/Scheduler/Doctor)</t>
        </is>
      </c>
      <c r="G11" s="45" t="inlineStr">
        <is>
          <t>El sistema crea sesión interna y redirige a /portal/interno/citas con el rol correspondiente</t>
        </is>
      </c>
      <c r="H11" s="45" t="inlineStr">
        <is>
          <t>Admin</t>
        </is>
      </c>
      <c r="I11" s="44" t="inlineStr">
        <is>
          <t>EA</t>
        </is>
      </c>
      <c r="J11" s="46" t="inlineStr">
        <is>
          <t>Redirige a /portal/interno/citas con rol Admin.</t>
        </is>
      </c>
      <c r="K11" s="46" t="inlineStr">
        <is>
          <t>Juan Felipe Ramirez</t>
        </is>
      </c>
      <c r="L11" s="44" t="inlineStr">
        <is>
          <t>PDTE</t>
        </is>
      </c>
      <c r="M11" s="46" t="n"/>
      <c r="N11" s="46" t="n"/>
      <c r="O11" s="44" t="inlineStr">
        <is>
          <t>EA</t>
        </is>
      </c>
      <c r="P11" s="46" t="inlineStr">
        <is>
          <t>Redirige a /portal/interno/citas con rol Admin.</t>
        </is>
      </c>
    </row>
    <row r="12" ht="48" customHeight="1" s="35">
      <c r="A12" s="42" t="inlineStr">
        <is>
          <t>Sistema</t>
        </is>
      </c>
      <c r="B12" s="42" t="inlineStr">
        <is>
          <t>Autenticación</t>
        </is>
      </c>
      <c r="C12" s="42" t="inlineStr">
        <is>
          <t>Recuperación</t>
        </is>
      </c>
      <c r="D12" s="42" t="inlineStr">
        <is>
          <t>AUT-06</t>
        </is>
      </c>
      <c r="E12" s="42" t="inlineStr">
        <is>
          <t>Solicitar código de recuperación para cuenta existente</t>
        </is>
      </c>
      <c r="F12" s="42" t="inlineStr">
        <is>
          <t>El actor va a /olvide-mi-contrasena e ingresa su documentNumber</t>
        </is>
      </c>
      <c r="G12" s="42" t="inlineStr">
        <is>
          <t>El sistema genera y muestra un código de 6 dígitos con TTL de 15 minutos. El código queda almacenado en localStorage.</t>
        </is>
      </c>
      <c r="H12" s="42" t="inlineStr">
        <is>
          <t>Paciente</t>
        </is>
      </c>
      <c r="I12" s="44" t="inlineStr">
        <is>
          <t>EA</t>
        </is>
      </c>
      <c r="J12" s="43" t="inlineStr">
        <is>
          <t>Codigo temporal mostrado en UI (modo demo).</t>
        </is>
      </c>
      <c r="K12" s="43" t="inlineStr">
        <is>
          <t>Juan Felipe Ramirez</t>
        </is>
      </c>
      <c r="L12" s="44" t="inlineStr">
        <is>
          <t>PDTE</t>
        </is>
      </c>
      <c r="M12" s="43" t="n"/>
      <c r="N12" s="43" t="n"/>
      <c r="O12" s="44" t="inlineStr">
        <is>
          <t>EA</t>
        </is>
      </c>
      <c r="P12" s="43" t="inlineStr">
        <is>
          <t>Codigo temporal mostrado en UI (modo demo).</t>
        </is>
      </c>
    </row>
    <row r="13" ht="48" customHeight="1" s="35">
      <c r="A13" s="45" t="inlineStr">
        <is>
          <t>Sistema</t>
        </is>
      </c>
      <c r="B13" s="45" t="inlineStr">
        <is>
          <t>Autenticación</t>
        </is>
      </c>
      <c r="C13" s="45" t="inlineStr">
        <is>
          <t>Recuperación</t>
        </is>
      </c>
      <c r="D13" s="45" t="inlineStr">
        <is>
          <t>AUT-07</t>
        </is>
      </c>
      <c r="E13" s="45" t="inlineStr">
        <is>
          <t>Restablecer contraseña usando el código recibido</t>
        </is>
      </c>
      <c r="F13" s="45" t="inlineStr">
        <is>
          <t>El actor va a /restablecer-contrasena, ingresa el identificador, el código y la nueva contraseña</t>
        </is>
      </c>
      <c r="G13" s="45" t="inlineStr">
        <is>
          <t>El sistema actualiza la contraseña (re-hasheada). El código es invalidado. El actor puede iniciar sesión con la nueva contraseña.</t>
        </is>
      </c>
      <c r="H13" s="45" t="inlineStr">
        <is>
          <t>Paciente</t>
        </is>
      </c>
      <c r="I13" s="44" t="inlineStr">
        <is>
          <t>EA</t>
        </is>
      </c>
      <c r="J13" s="46" t="inlineStr">
        <is>
          <t>Contrasena actualizada a Reset1234!; login OK.</t>
        </is>
      </c>
      <c r="K13" s="46" t="inlineStr">
        <is>
          <t>Juan Felipe Ramirez</t>
        </is>
      </c>
      <c r="L13" s="44" t="inlineStr">
        <is>
          <t>PDTE</t>
        </is>
      </c>
      <c r="M13" s="46" t="n"/>
      <c r="N13" s="46" t="n"/>
      <c r="O13" s="44" t="inlineStr">
        <is>
          <t>EA</t>
        </is>
      </c>
      <c r="P13" s="46" t="inlineStr">
        <is>
          <t>Contrasena actualizada a Reset1234!; login OK.</t>
        </is>
      </c>
    </row>
    <row r="14" ht="48" customHeight="1" s="35">
      <c r="A14" s="42" t="inlineStr">
        <is>
          <t>Sistema</t>
        </is>
      </c>
      <c r="B14" s="42" t="inlineStr">
        <is>
          <t>Portal Paciente</t>
        </is>
      </c>
      <c r="C14" s="42" t="inlineStr">
        <is>
          <t>Perfil</t>
        </is>
      </c>
      <c r="D14" s="42" t="inlineStr">
        <is>
          <t>PAC-01</t>
        </is>
      </c>
      <c r="E14" s="42" t="inlineStr">
        <is>
          <t>Consultar los datos de perfil del paciente autenticado</t>
        </is>
      </c>
      <c r="F14" s="42" t="inlineStr">
        <is>
          <t>El actor autenticado como Paciente accede a GET /api/patient/profile</t>
        </is>
      </c>
      <c r="G14" s="42" t="inlineStr">
        <is>
          <t>El sistema retorna 200 OK con documentNumber, firstName, lastName, phone, gender, birthDate, email, isGuest</t>
        </is>
      </c>
      <c r="H14" s="42" t="inlineStr">
        <is>
          <t>Paciente</t>
        </is>
      </c>
      <c r="I14" s="44" t="inlineStr">
        <is>
          <t>EA</t>
        </is>
      </c>
      <c r="J14" s="43" t="n"/>
      <c r="K14" s="43" t="inlineStr">
        <is>
          <t>Juan Felipe Ramirez</t>
        </is>
      </c>
      <c r="L14" s="44" t="inlineStr">
        <is>
          <t>PDTE</t>
        </is>
      </c>
      <c r="M14" s="43" t="n"/>
      <c r="N14" s="43" t="n"/>
      <c r="O14" s="44" t="inlineStr">
        <is>
          <t>EA</t>
        </is>
      </c>
      <c r="P14" s="43" t="n"/>
    </row>
    <row r="15" ht="48" customHeight="1" s="35">
      <c r="A15" s="45" t="inlineStr">
        <is>
          <t>Sistema</t>
        </is>
      </c>
      <c r="B15" s="45" t="inlineStr">
        <is>
          <t>Portal Paciente</t>
        </is>
      </c>
      <c r="C15" s="45" t="inlineStr">
        <is>
          <t>Perfil</t>
        </is>
      </c>
      <c r="D15" s="45" t="inlineStr">
        <is>
          <t>PAC-02</t>
        </is>
      </c>
      <c r="E15" s="45" t="inlineStr">
        <is>
          <t>Actualizar teléfono y fecha de nacimiento del perfil</t>
        </is>
      </c>
      <c r="F15" s="45" t="inlineStr">
        <is>
          <t>El actor autenticado realiza PUT /api/patient/profile con los datos modificados</t>
        </is>
      </c>
      <c r="G15" s="45" t="inlineStr">
        <is>
          <t>El sistema retorna 200 OK con los datos actualizados. La información persiste en BD.</t>
        </is>
      </c>
      <c r="H15" s="45" t="inlineStr">
        <is>
          <t>Paciente</t>
        </is>
      </c>
      <c r="I15" s="44" t="inlineStr">
        <is>
          <t>EA</t>
        </is>
      </c>
      <c r="J15" s="46" t="n"/>
      <c r="K15" s="46" t="inlineStr">
        <is>
          <t>Juan Felipe Ramirez</t>
        </is>
      </c>
      <c r="L15" s="44" t="inlineStr">
        <is>
          <t>PDTE</t>
        </is>
      </c>
      <c r="M15" s="46" t="n"/>
      <c r="N15" s="46" t="n"/>
      <c r="O15" s="44" t="inlineStr">
        <is>
          <t>EA</t>
        </is>
      </c>
      <c r="P15" s="46" t="n"/>
    </row>
    <row r="16" ht="48" customHeight="1" s="35">
      <c r="A16" s="42" t="inlineStr">
        <is>
          <t>Sistema</t>
        </is>
      </c>
      <c r="B16" s="42" t="inlineStr">
        <is>
          <t>Portal Paciente</t>
        </is>
      </c>
      <c r="C16" s="42" t="inlineStr">
        <is>
          <t>Mis Citas</t>
        </is>
      </c>
      <c r="D16" s="42" t="inlineStr">
        <is>
          <t>PAC-03</t>
        </is>
      </c>
      <c r="E16" s="42" t="inlineStr">
        <is>
          <t>Obtener todas las citas del paciente autenticado</t>
        </is>
      </c>
      <c r="F16" s="42" t="inlineStr">
        <is>
          <t>El actor autenticado realiza GET /api/patient/appointments</t>
        </is>
      </c>
      <c r="G16" s="42" t="inlineStr">
        <is>
          <t>El sistema retorna 200 OK con lista de citas del paciente (id, providerName, specialty, appointmentDate, startTime, status, channel)</t>
        </is>
      </c>
      <c r="H16" s="42" t="inlineStr">
        <is>
          <t>Paciente</t>
        </is>
      </c>
      <c r="I16" s="44" t="inlineStr">
        <is>
          <t>EA</t>
        </is>
      </c>
      <c r="J16" s="43" t="n"/>
      <c r="K16" s="43" t="inlineStr">
        <is>
          <t>Juan Felipe Ramirez</t>
        </is>
      </c>
      <c r="L16" s="44" t="inlineStr">
        <is>
          <t>PDTE</t>
        </is>
      </c>
      <c r="M16" s="43" t="n"/>
      <c r="N16" s="43" t="n"/>
      <c r="O16" s="44" t="inlineStr">
        <is>
          <t>EA</t>
        </is>
      </c>
      <c r="P16" s="43" t="n"/>
    </row>
    <row r="17" ht="48" customHeight="1" s="35">
      <c r="A17" s="45" t="inlineStr">
        <is>
          <t>Sistema</t>
        </is>
      </c>
      <c r="B17" s="45" t="inlineStr">
        <is>
          <t>Portal Paciente</t>
        </is>
      </c>
      <c r="C17" s="45" t="inlineStr">
        <is>
          <t>Mis Citas</t>
        </is>
      </c>
      <c r="D17" s="45" t="inlineStr">
        <is>
          <t>PAC-04</t>
        </is>
      </c>
      <c r="E17" s="45" t="inlineStr">
        <is>
          <t>Crear cita desde portal de paciente autenticado</t>
        </is>
      </c>
      <c r="F17" s="45" t="inlineStr">
        <is>
          <t>El actor autenticado realiza POST /api/patient/appointments con datos válidos de slot disponible</t>
        </is>
      </c>
      <c r="G17" s="45" t="inlineStr">
        <is>
          <t>El sistema retorna 200 OK con la cita creada. La cita queda asociada al externalUserId del paciente.</t>
        </is>
      </c>
      <c r="H17" s="45" t="inlineStr">
        <is>
          <t>Paciente</t>
        </is>
      </c>
      <c r="I17" s="44" t="inlineStr">
        <is>
          <t>EA</t>
        </is>
      </c>
      <c r="J17" s="46" t="n"/>
      <c r="K17" s="46" t="inlineStr">
        <is>
          <t>Juan Felipe Ramirez</t>
        </is>
      </c>
      <c r="L17" s="44" t="inlineStr">
        <is>
          <t>PDTE</t>
        </is>
      </c>
      <c r="M17" s="46" t="n"/>
      <c r="N17" s="46" t="n"/>
      <c r="O17" s="44" t="inlineStr">
        <is>
          <t>EA</t>
        </is>
      </c>
      <c r="P17" s="46" t="n"/>
    </row>
    <row r="18" ht="48" customHeight="1" s="35">
      <c r="A18" s="42" t="inlineStr">
        <is>
          <t>Sistema</t>
        </is>
      </c>
      <c r="B18" s="42" t="inlineStr">
        <is>
          <t>Portal Paciente</t>
        </is>
      </c>
      <c r="C18" s="42" t="inlineStr">
        <is>
          <t>Mis Citas</t>
        </is>
      </c>
      <c r="D18" s="42" t="inlineStr">
        <is>
          <t>PAC-05</t>
        </is>
      </c>
      <c r="E18" s="42" t="inlineStr">
        <is>
          <t>Cancelar una cita programada del paciente</t>
        </is>
      </c>
      <c r="F18" s="42" t="inlineStr">
        <is>
          <t>El actor autenticado realiza PATCH /api/patient/appointments/{id}/cancel</t>
        </is>
      </c>
      <c r="G18" s="42" t="inlineStr">
        <is>
          <t>El sistema retorna 200 OK con status=Cancelled. El paciente no puede cancelar citas de otro paciente.</t>
        </is>
      </c>
      <c r="H18" s="42" t="inlineStr">
        <is>
          <t>Paciente</t>
        </is>
      </c>
      <c r="I18" s="44" t="inlineStr">
        <is>
          <t>EA</t>
        </is>
      </c>
      <c r="J18" s="43" t="n"/>
      <c r="K18" s="43" t="inlineStr">
        <is>
          <t>Juan Felipe Ramirez</t>
        </is>
      </c>
      <c r="L18" s="44" t="inlineStr">
        <is>
          <t>PDTE</t>
        </is>
      </c>
      <c r="M18" s="43" t="n"/>
      <c r="N18" s="43" t="n"/>
      <c r="O18" s="44" t="inlineStr">
        <is>
          <t>EA</t>
        </is>
      </c>
      <c r="P18" s="43" t="n"/>
    </row>
    <row r="19" ht="48" customHeight="1" s="35">
      <c r="A19" s="45" t="inlineStr">
        <is>
          <t>Sistema</t>
        </is>
      </c>
      <c r="B19" s="45" t="inlineStr">
        <is>
          <t>Portal Interno</t>
        </is>
      </c>
      <c r="C19" s="45" t="inlineStr">
        <is>
          <t>Búsqueda de Paciente</t>
        </is>
      </c>
      <c r="D19" s="45" t="inlineStr">
        <is>
          <t>INT-01</t>
        </is>
      </c>
      <c r="E19" s="45" t="inlineStr">
        <is>
          <t>Buscar paciente desde la vista interna por número de documento</t>
        </is>
      </c>
      <c r="F19" s="45" t="inlineStr">
        <is>
          <t>El actor interno (Admin/Scheduler/Doctor) realiza GET /api/internal/patients/search?document=1000</t>
        </is>
      </c>
      <c r="G19" s="45" t="inlineStr">
        <is>
          <t>El sistema retorna lista de pacientes cuyo documentNumber contiene el término. Retorna scheduledAppointmentsCount y hasUserAccount.</t>
        </is>
      </c>
      <c r="H19" s="45" t="inlineStr">
        <is>
          <t>Scheduler</t>
        </is>
      </c>
      <c r="I19" s="44" t="inlineStr">
        <is>
          <t>EA</t>
        </is>
      </c>
      <c r="J19" s="46" t="n"/>
      <c r="K19" s="46" t="inlineStr">
        <is>
          <t>Juan Felipe Ramirez</t>
        </is>
      </c>
      <c r="L19" s="44" t="inlineStr">
        <is>
          <t>PDTE</t>
        </is>
      </c>
      <c r="M19" s="46" t="n"/>
      <c r="N19" s="46" t="n"/>
      <c r="O19" s="44" t="inlineStr">
        <is>
          <t>EA</t>
        </is>
      </c>
      <c r="P19" s="46" t="n"/>
    </row>
    <row r="20" ht="48" customHeight="1" s="35">
      <c r="A20" s="42" t="inlineStr">
        <is>
          <t>Sistema</t>
        </is>
      </c>
      <c r="B20" s="42" t="inlineStr">
        <is>
          <t>Portal Interno</t>
        </is>
      </c>
      <c r="C20" s="42" t="inlineStr">
        <is>
          <t>Gestión de Citas</t>
        </is>
      </c>
      <c r="D20" s="42" t="inlineStr">
        <is>
          <t>INT-02</t>
        </is>
      </c>
      <c r="E20" s="42" t="inlineStr">
        <is>
          <t>Consultar todas las citas de un médico en una fecha específica</t>
        </is>
      </c>
      <c r="F20" s="42" t="inlineStr">
        <is>
          <t>El actor interno realiza GET /api/internal/appointments?providerId={id}&amp;date=YYYY-MM-DD</t>
        </is>
      </c>
      <c r="G20" s="42" t="inlineStr">
        <is>
          <t>El sistema retorna 200 OK con providerName, specialty, appointmentDate, total y lista de citas con todos sus datos.</t>
        </is>
      </c>
      <c r="H20" s="42" t="inlineStr">
        <is>
          <t>Doctor</t>
        </is>
      </c>
      <c r="I20" s="44" t="inlineStr">
        <is>
          <t>EA</t>
        </is>
      </c>
      <c r="J20" s="43" t="n"/>
      <c r="K20" s="43" t="inlineStr">
        <is>
          <t>Juan Felipe Ramirez</t>
        </is>
      </c>
      <c r="L20" s="44" t="inlineStr">
        <is>
          <t>PDTE</t>
        </is>
      </c>
      <c r="M20" s="43" t="n"/>
      <c r="N20" s="43" t="n"/>
      <c r="O20" s="44" t="inlineStr">
        <is>
          <t>EA</t>
        </is>
      </c>
      <c r="P20" s="43" t="n"/>
    </row>
    <row r="21" ht="48" customHeight="1" s="35">
      <c r="A21" s="45" t="inlineStr">
        <is>
          <t>Sistema</t>
        </is>
      </c>
      <c r="B21" s="45" t="inlineStr">
        <is>
          <t>Portal Interno</t>
        </is>
      </c>
      <c r="C21" s="45" t="inlineStr">
        <is>
          <t>Gestión de Citas</t>
        </is>
      </c>
      <c r="D21" s="45" t="inlineStr">
        <is>
          <t>INT-03</t>
        </is>
      </c>
      <c r="E21" s="45" t="inlineStr">
        <is>
          <t>Registrar una cita para un paciente desde el portal interno (canal WhatsApp o Teléfono)</t>
        </is>
      </c>
      <c r="F21" s="45" t="inlineStr">
        <is>
          <t>El actor (Scheduler) realiza POST /api/internal/appointments con channel=WhatsApp, datos del paciente y slot disponible</t>
        </is>
      </c>
      <c r="G21" s="45" t="inlineStr">
        <is>
          <t>El sistema retorna 200 OK con la cita creada y channel=WhatsApp. Si el paciente no existe en BD, se crea como perfil.</t>
        </is>
      </c>
      <c r="H21" s="45" t="inlineStr">
        <is>
          <t>Scheduler</t>
        </is>
      </c>
      <c r="I21" s="44" t="inlineStr">
        <is>
          <t>EA</t>
        </is>
      </c>
      <c r="J21" s="46" t="n"/>
      <c r="K21" s="46" t="inlineStr">
        <is>
          <t>Juan Felipe Ramirez</t>
        </is>
      </c>
      <c r="L21" s="44" t="inlineStr">
        <is>
          <t>PDTE</t>
        </is>
      </c>
      <c r="M21" s="46" t="n"/>
      <c r="N21" s="46" t="n"/>
      <c r="O21" s="44" t="inlineStr">
        <is>
          <t>EA</t>
        </is>
      </c>
      <c r="P21" s="46" t="n"/>
    </row>
    <row r="22" ht="48" customHeight="1" s="35">
      <c r="A22" s="42" t="inlineStr">
        <is>
          <t>Sistema</t>
        </is>
      </c>
      <c r="B22" s="42" t="inlineStr">
        <is>
          <t>Portal Interno</t>
        </is>
      </c>
      <c r="C22" s="42" t="inlineStr">
        <is>
          <t>Gestión de Citas</t>
        </is>
      </c>
      <c r="D22" s="42" t="inlineStr">
        <is>
          <t>INT-04</t>
        </is>
      </c>
      <c r="E22" s="42" t="inlineStr">
        <is>
          <t>Marcar una cita como Completada</t>
        </is>
      </c>
      <c r="F22" s="42" t="inlineStr">
        <is>
          <t>El actor interno realiza PATCH /api/internal/appointments/{id}/status con body {status: 'Completada'}</t>
        </is>
      </c>
      <c r="G22" s="42" t="inlineStr">
        <is>
          <t>El sistema retorna 200 OK con status=Completada. El cambio queda auditado.</t>
        </is>
      </c>
      <c r="H22" s="42" t="inlineStr">
        <is>
          <t>Doctor</t>
        </is>
      </c>
      <c r="I22" s="44" t="inlineStr">
        <is>
          <t>EA</t>
        </is>
      </c>
      <c r="J22" s="43" t="inlineStr">
        <is>
          <t>Se completo una cita pasada; validacion de fecha OK.</t>
        </is>
      </c>
      <c r="K22" s="43" t="inlineStr">
        <is>
          <t>Juan Felipe Ramirez</t>
        </is>
      </c>
      <c r="L22" s="44" t="inlineStr">
        <is>
          <t>PDTE</t>
        </is>
      </c>
      <c r="M22" s="43" t="n"/>
      <c r="N22" s="43" t="n"/>
      <c r="O22" s="44" t="inlineStr">
        <is>
          <t>EA</t>
        </is>
      </c>
      <c r="P22" s="43" t="inlineStr">
        <is>
          <t>Se completo una cita pasada; validacion de fecha OK.</t>
        </is>
      </c>
    </row>
    <row r="23" ht="48" customHeight="1" s="35">
      <c r="A23" s="45" t="inlineStr">
        <is>
          <t>Sistema</t>
        </is>
      </c>
      <c r="B23" s="45" t="inlineStr">
        <is>
          <t>Portal Interno</t>
        </is>
      </c>
      <c r="C23" s="45" t="inlineStr">
        <is>
          <t>Gestión de Citas</t>
        </is>
      </c>
      <c r="D23" s="45" t="inlineStr">
        <is>
          <t>INT-06</t>
        </is>
      </c>
      <c r="E23" s="45" t="inlineStr">
        <is>
          <t>Cambiar la fecha y hora de una cita existente</t>
        </is>
      </c>
      <c r="F23" s="45" t="inlineStr">
        <is>
          <t>El actor interno realiza PUT /api/internal/appointments/{id}/reschedule con newDate y newStartTime de un slot disponible</t>
        </is>
      </c>
      <c r="G23" s="45" t="inlineStr">
        <is>
          <t>El sistema retorna 200 OK con los nuevos datos. Se crea un registro en AppointmentHistory con los datos anteriores y el usuario que hizo el cambio.</t>
        </is>
      </c>
      <c r="H23" s="45" t="inlineStr">
        <is>
          <t>Scheduler</t>
        </is>
      </c>
      <c r="I23" s="44" t="inlineStr">
        <is>
          <t>EA</t>
        </is>
      </c>
      <c r="J23" s="46" t="n"/>
      <c r="K23" s="46" t="inlineStr">
        <is>
          <t>Juan Felipe Ramirez</t>
        </is>
      </c>
      <c r="L23" s="44" t="inlineStr">
        <is>
          <t>PDTE</t>
        </is>
      </c>
      <c r="M23" s="46" t="n"/>
      <c r="N23" s="46" t="n"/>
      <c r="O23" s="44" t="inlineStr">
        <is>
          <t>EA</t>
        </is>
      </c>
      <c r="P23" s="46" t="n"/>
    </row>
    <row r="24" ht="48" customHeight="1" s="35">
      <c r="A24" s="42" t="inlineStr">
        <is>
          <t>Sistema</t>
        </is>
      </c>
      <c r="B24" s="42" t="inlineStr">
        <is>
          <t>Portal Interno</t>
        </is>
      </c>
      <c r="C24" s="42" t="inlineStr">
        <is>
          <t>Historial</t>
        </is>
      </c>
      <c r="D24" s="42" t="inlineStr">
        <is>
          <t>INT-08</t>
        </is>
      </c>
      <c r="E24" s="42" t="inlineStr">
        <is>
          <t>Ver el historial de cambios de una cita que fue reprogramada</t>
        </is>
      </c>
      <c r="F24" s="42" t="inlineStr">
        <is>
          <t>GET /api/internal/appointments/{id}/history</t>
        </is>
      </c>
      <c r="G24" s="42" t="inlineStr">
        <is>
          <t>El sistema retorna lista de AppointmentHistory con: previousDate/Time, newDate/Time, reason, changedBy, changedAtUtc</t>
        </is>
      </c>
      <c r="H24" s="42" t="inlineStr">
        <is>
          <t>Doctor</t>
        </is>
      </c>
      <c r="I24" s="44" t="inlineStr">
        <is>
          <t>EA</t>
        </is>
      </c>
      <c r="J24" s="43" t="n"/>
      <c r="K24" s="43" t="inlineStr">
        <is>
          <t>Juan Felipe Ramirez</t>
        </is>
      </c>
      <c r="L24" s="44" t="inlineStr">
        <is>
          <t>PDTE</t>
        </is>
      </c>
      <c r="M24" s="43" t="n"/>
      <c r="N24" s="43" t="n"/>
      <c r="O24" s="44" t="inlineStr">
        <is>
          <t>EA</t>
        </is>
      </c>
      <c r="P24" s="43" t="n"/>
    </row>
    <row r="25" ht="48" customHeight="1" s="35">
      <c r="A25" s="45" t="inlineStr">
        <is>
          <t>Sistema</t>
        </is>
      </c>
      <c r="B25" s="45" t="inlineStr">
        <is>
          <t>Portal Interno</t>
        </is>
      </c>
      <c r="C25" s="45" t="inlineStr">
        <is>
          <t>Exportación</t>
        </is>
      </c>
      <c r="D25" s="45" t="inlineStr">
        <is>
          <t>INT-09</t>
        </is>
      </c>
      <c r="E25" s="45" t="inlineStr">
        <is>
          <t>Descargar el listado de citas de un médico en formato PDF</t>
        </is>
      </c>
      <c r="F25" s="45" t="inlineStr">
        <is>
          <t>GET /api/internal/appointments/export/pdf?providerId={id}&amp;date=YYYY-MM-DD</t>
        </is>
      </c>
      <c r="G25" s="45" t="inlineStr">
        <is>
          <t>El sistema retorna 200 con Content-Type=application/pdf y el archivo citas-YYYYMMDD.pdf. El PDF contiene los datos de las citas del día.</t>
        </is>
      </c>
      <c r="H25" s="45" t="inlineStr">
        <is>
          <t>Admin</t>
        </is>
      </c>
      <c r="I25" s="44" t="inlineStr">
        <is>
          <t>EA</t>
        </is>
      </c>
      <c r="J25" s="46" t="n"/>
      <c r="K25" s="46" t="inlineStr">
        <is>
          <t>Juan Felipe Ramirez</t>
        </is>
      </c>
      <c r="L25" s="44" t="inlineStr">
        <is>
          <t>PDTE</t>
        </is>
      </c>
      <c r="M25" s="46" t="n"/>
      <c r="N25" s="46" t="n"/>
      <c r="O25" s="44" t="inlineStr">
        <is>
          <t>EA</t>
        </is>
      </c>
      <c r="P25" s="46" t="n"/>
    </row>
    <row r="26" ht="48" customHeight="1" s="35">
      <c r="A26" s="42" t="inlineStr">
        <is>
          <t>Sistema</t>
        </is>
      </c>
      <c r="B26" s="42" t="inlineStr">
        <is>
          <t>Portal Interno</t>
        </is>
      </c>
      <c r="C26" s="42" t="inlineStr">
        <is>
          <t>Exportación</t>
        </is>
      </c>
      <c r="D26" s="42" t="inlineStr">
        <is>
          <t>INT-10</t>
        </is>
      </c>
      <c r="E26" s="42" t="inlineStr">
        <is>
          <t>Descargar el listado de citas de un médico en formato CSV</t>
        </is>
      </c>
      <c r="F26" s="42" t="inlineStr">
        <is>
          <t>GET /api/internal/appointments/export/csv?providerId={id}&amp;date=YYYY-MM-DD</t>
        </is>
      </c>
      <c r="G26" s="42" t="inlineStr">
        <is>
          <t>El sistema retorna 200 con Content-Type=text/csv y el archivo citas_YYYYMMDD.csv con encabezados y datos de citas.</t>
        </is>
      </c>
      <c r="H26" s="42" t="inlineStr">
        <is>
          <t>Admin</t>
        </is>
      </c>
      <c r="I26" s="44" t="inlineStr">
        <is>
          <t>EA</t>
        </is>
      </c>
      <c r="J26" s="43" t="n"/>
      <c r="K26" s="43" t="inlineStr">
        <is>
          <t>Juan Felipe Ramirez</t>
        </is>
      </c>
      <c r="L26" s="44" t="inlineStr">
        <is>
          <t>PDTE</t>
        </is>
      </c>
      <c r="M26" s="43" t="n"/>
      <c r="N26" s="43" t="n"/>
      <c r="O26" s="44" t="inlineStr">
        <is>
          <t>EA</t>
        </is>
      </c>
      <c r="P26" s="43" t="n"/>
    </row>
    <row r="27" ht="48" customHeight="1" s="35">
      <c r="A27" s="45" t="inlineStr">
        <is>
          <t>Sistema</t>
        </is>
      </c>
      <c r="B27" s="45" t="inlineStr">
        <is>
          <t>Portal Interno</t>
        </is>
      </c>
      <c r="C27" s="45" t="inlineStr">
        <is>
          <t>Control de Acceso</t>
        </is>
      </c>
      <c r="D27" s="45" t="inlineStr">
        <is>
          <t>INT-12</t>
        </is>
      </c>
      <c r="E27" s="45" t="inlineStr">
        <is>
          <t>Intentar acceder a endpoints internos sin token/sesión</t>
        </is>
      </c>
      <c r="F27" s="45" t="inlineStr">
        <is>
          <t>GET /api/internal/appointments sin cabecera de autenticación</t>
        </is>
      </c>
      <c r="G27" s="45" t="inlineStr">
        <is>
          <t>El sistema retorna 401 Unauthorized. El recurso no es accesible.</t>
        </is>
      </c>
      <c r="H27" s="45" t="inlineStr">
        <is>
          <t>Anónimo</t>
        </is>
      </c>
      <c r="I27" s="44" t="inlineStr">
        <is>
          <t>EA</t>
        </is>
      </c>
      <c r="J27" s="46" t="n"/>
      <c r="K27" s="46" t="inlineStr">
        <is>
          <t>Juan Felipe Ramirez</t>
        </is>
      </c>
      <c r="L27" s="44" t="inlineStr">
        <is>
          <t>PDTE</t>
        </is>
      </c>
      <c r="M27" s="46" t="n"/>
      <c r="N27" s="46" t="n"/>
      <c r="O27" s="44" t="inlineStr">
        <is>
          <t>EA</t>
        </is>
      </c>
      <c r="P27" s="46" t="n"/>
    </row>
    <row r="28" ht="48" customHeight="1" s="35">
      <c r="A28" s="42" t="inlineStr">
        <is>
          <t>Sistema</t>
        </is>
      </c>
      <c r="B28" s="42" t="inlineStr">
        <is>
          <t>Administración</t>
        </is>
      </c>
      <c r="C28" s="42" t="inlineStr">
        <is>
          <t>Configuración</t>
        </is>
      </c>
      <c r="D28" s="42" t="inlineStr">
        <is>
          <t>ADM-01</t>
        </is>
      </c>
      <c r="E28" s="42" t="inlineStr">
        <is>
          <t>Consultar parámetros globales del sistema (semanas de agendamiento y zona horaria)</t>
        </is>
      </c>
      <c r="F28" s="42" t="inlineStr">
        <is>
          <t>El actor Admin o Doctor realiza GET /api/admin/settings</t>
        </is>
      </c>
      <c r="G28" s="42" t="inlineStr">
        <is>
          <t>El sistema retorna 200 OK con weeksAheadBooking (entero) y timeZoneId (ej. 'America/Bogota')</t>
        </is>
      </c>
      <c r="H28" s="42" t="inlineStr">
        <is>
          <t>Admin</t>
        </is>
      </c>
      <c r="I28" s="44" t="inlineStr">
        <is>
          <t>EA</t>
        </is>
      </c>
      <c r="J28" s="43" t="n"/>
      <c r="K28" s="43" t="inlineStr">
        <is>
          <t>Juan Felipe Ramirez</t>
        </is>
      </c>
      <c r="L28" s="44" t="inlineStr">
        <is>
          <t>PDTE</t>
        </is>
      </c>
      <c r="M28" s="43" t="n"/>
      <c r="N28" s="43" t="n"/>
      <c r="O28" s="44" t="inlineStr">
        <is>
          <t>EA</t>
        </is>
      </c>
      <c r="P28" s="43" t="n"/>
    </row>
    <row r="29" ht="48" customHeight="1" s="35">
      <c r="A29" s="45" t="inlineStr">
        <is>
          <t>Sistema</t>
        </is>
      </c>
      <c r="B29" s="45" t="inlineStr">
        <is>
          <t>Administración</t>
        </is>
      </c>
      <c r="C29" s="45" t="inlineStr">
        <is>
          <t>Configuración</t>
        </is>
      </c>
      <c r="D29" s="45" t="inlineStr">
        <is>
          <t>ADM-02</t>
        </is>
      </c>
      <c r="E29" s="45" t="inlineStr">
        <is>
          <t>Modificar la ventana de agendamiento de 6 a 4 semanas</t>
        </is>
      </c>
      <c r="F29" s="45" t="inlineStr">
        <is>
          <t>El actor Admin realiza PUT /api/admin/settings con weeksAheadBooking=4 y timeZoneId válido</t>
        </is>
      </c>
      <c r="G29" s="45" t="inlineStr">
        <is>
          <t>El sistema retorna 200 OK con los nuevos parámetros. La nueva ventana impacta inmediatamente la disponibilidad pública.</t>
        </is>
      </c>
      <c r="H29" s="45" t="inlineStr">
        <is>
          <t>Admin</t>
        </is>
      </c>
      <c r="I29" s="44" t="inlineStr">
        <is>
          <t>EA</t>
        </is>
      </c>
      <c r="J29" s="46" t="n"/>
      <c r="K29" s="46" t="inlineStr">
        <is>
          <t>Juan Felipe Ramirez</t>
        </is>
      </c>
      <c r="L29" s="44" t="inlineStr">
        <is>
          <t>PDTE</t>
        </is>
      </c>
      <c r="M29" s="46" t="n"/>
      <c r="N29" s="46" t="n"/>
      <c r="O29" s="44" t="inlineStr">
        <is>
          <t>EA</t>
        </is>
      </c>
      <c r="P29" s="46" t="n"/>
    </row>
    <row r="30" ht="48" customHeight="1" s="35">
      <c r="A30" s="42" t="inlineStr">
        <is>
          <t>Sistema</t>
        </is>
      </c>
      <c r="B30" s="42" t="inlineStr">
        <is>
          <t>Administración</t>
        </is>
      </c>
      <c r="C30" s="42" t="inlineStr">
        <is>
          <t>Horarios Médicos</t>
        </is>
      </c>
      <c r="D30" s="42" t="inlineStr">
        <is>
          <t>ADM-04</t>
        </is>
      </c>
      <c r="E30" s="42" t="inlineStr">
        <is>
          <t>Obtener lista completa de médicos con su disponibilidad semanal</t>
        </is>
      </c>
      <c r="F30" s="42" t="inlineStr">
        <is>
          <t>GET /api/admin/provider-schedules</t>
        </is>
      </c>
      <c r="G30" s="42" t="inlineStr">
        <is>
          <t>El sistema retorna 200 OK con lista de ProviderScheduleResponse: providerId, providerName, specialty, defaultSlotIntervalMinutes, weeklyAvailabilities (con dayOfWeek, startTime, endTime, slotIntervalMinutes, isActive)</t>
        </is>
      </c>
      <c r="H30" s="42" t="inlineStr">
        <is>
          <t>Admin</t>
        </is>
      </c>
      <c r="I30" s="44" t="inlineStr">
        <is>
          <t>EA</t>
        </is>
      </c>
      <c r="J30" s="43" t="n"/>
      <c r="K30" s="43" t="inlineStr">
        <is>
          <t>Juan Felipe Ramirez</t>
        </is>
      </c>
      <c r="L30" s="44" t="inlineStr">
        <is>
          <t>PDTE</t>
        </is>
      </c>
      <c r="M30" s="43" t="n"/>
      <c r="N30" s="43" t="n"/>
      <c r="O30" s="44" t="inlineStr">
        <is>
          <t>EA</t>
        </is>
      </c>
      <c r="P30" s="43" t="n"/>
    </row>
    <row r="31" ht="48" customHeight="1" s="35">
      <c r="A31" s="45" t="inlineStr">
        <is>
          <t>Sistema</t>
        </is>
      </c>
      <c r="B31" s="45" t="inlineStr">
        <is>
          <t>Administración</t>
        </is>
      </c>
      <c r="C31" s="45" t="inlineStr">
        <is>
          <t>Horarios Médicos</t>
        </is>
      </c>
      <c r="D31" s="45" t="inlineStr">
        <is>
          <t>ADM-05</t>
        </is>
      </c>
      <c r="E31" s="45" t="inlineStr">
        <is>
          <t>Registrar un nuevo médico con disponibilidad semanal</t>
        </is>
      </c>
      <c r="F31" s="45" t="inlineStr">
        <is>
          <t>POST /api/admin/provider-schedules con firstName, lastName, specialty, defaultSlotIntervalMinutes y weeklyAvailabilities (lunes a viernes 8:00-17:00, 30 min)</t>
        </is>
      </c>
      <c r="G31" s="45" t="inlineStr">
        <is>
          <t>El sistema retorna 200 OK con el nuevo proveedor creado e ID generado. El proveedor aparece en el listado público de proveedores.</t>
        </is>
      </c>
      <c r="H31" s="45" t="inlineStr">
        <is>
          <t>Admin</t>
        </is>
      </c>
      <c r="I31" s="44" t="inlineStr">
        <is>
          <t>EA</t>
        </is>
      </c>
      <c r="J31" s="46" t="n"/>
      <c r="K31" s="46" t="inlineStr">
        <is>
          <t>Juan Felipe Ramirez</t>
        </is>
      </c>
      <c r="L31" s="44" t="inlineStr">
        <is>
          <t>PDTE</t>
        </is>
      </c>
      <c r="M31" s="46" t="n"/>
      <c r="N31" s="46" t="n"/>
      <c r="O31" s="44" t="inlineStr">
        <is>
          <t>EA</t>
        </is>
      </c>
      <c r="P31" s="46" t="n"/>
    </row>
    <row r="32" ht="48" customHeight="1" s="35">
      <c r="A32" s="42" t="inlineStr">
        <is>
          <t>Sistema</t>
        </is>
      </c>
      <c r="B32" s="42" t="inlineStr">
        <is>
          <t>Administración</t>
        </is>
      </c>
      <c r="C32" s="42" t="inlineStr">
        <is>
          <t>Horarios Médicos</t>
        </is>
      </c>
      <c r="D32" s="42" t="inlineStr">
        <is>
          <t>ADM-06</t>
        </is>
      </c>
      <c r="E32" s="42" t="inlineStr">
        <is>
          <t>Modificar la disponibilidad semanal de un proveedor existente (ampliar horario)</t>
        </is>
      </c>
      <c r="F32" s="42" t="inlineStr">
        <is>
          <t>PUT /api/admin/provider-schedules/{providerId} con nuevas WeeklyAvailabilities</t>
        </is>
      </c>
      <c r="G32" s="42" t="inlineStr">
        <is>
          <t>El sistema retorna 200 OK con el horario actualizado. Los slots disponibles en el sistema reflejan el nuevo horario.</t>
        </is>
      </c>
      <c r="H32" s="42" t="inlineStr">
        <is>
          <t>Admin</t>
        </is>
      </c>
      <c r="I32" s="44" t="inlineStr">
        <is>
          <t>EA</t>
        </is>
      </c>
      <c r="J32" s="43" t="n"/>
      <c r="K32" s="43" t="inlineStr">
        <is>
          <t>Juan Felipe Ramirez</t>
        </is>
      </c>
      <c r="L32" s="44" t="inlineStr">
        <is>
          <t>PDTE</t>
        </is>
      </c>
      <c r="M32" s="43" t="n"/>
      <c r="N32" s="43" t="n"/>
      <c r="O32" s="44" t="inlineStr">
        <is>
          <t>EA</t>
        </is>
      </c>
      <c r="P32" s="43" t="n"/>
    </row>
    <row r="33" ht="48" customHeight="1" s="35">
      <c r="A33" s="45" t="inlineStr">
        <is>
          <t>Sistema</t>
        </is>
      </c>
      <c r="B33" s="45" t="inlineStr">
        <is>
          <t>Administración</t>
        </is>
      </c>
      <c r="C33" s="45" t="inlineStr">
        <is>
          <t>Horarios Médicos</t>
        </is>
      </c>
      <c r="D33" s="45" t="inlineStr">
        <is>
          <t>ADM-07</t>
        </is>
      </c>
      <c r="E33" s="45" t="inlineStr">
        <is>
          <t>Eliminar un proveedor del sistema</t>
        </is>
      </c>
      <c r="F33" s="45" t="inlineStr">
        <is>
          <t>DELETE /api/admin/provider-schedules/{providerId}</t>
        </is>
      </c>
      <c r="G33" s="45" t="inlineStr">
        <is>
          <t>El sistema retorna 204 No Content. El proveedor desaparece del listado público. Solo rol Admin puede ejecutar.</t>
        </is>
      </c>
      <c r="H33" s="45" t="inlineStr">
        <is>
          <t>Admin</t>
        </is>
      </c>
      <c r="I33" s="44" t="inlineStr">
        <is>
          <t>ENA</t>
        </is>
      </c>
      <c r="J33" s="46" t="inlineStr">
        <is>
          <t>Proveedor permanece en listado; solo se elimina disponibilidad semanal.</t>
        </is>
      </c>
      <c r="K33" s="46" t="inlineStr">
        <is>
          <t>Juan Felipe Ramirez</t>
        </is>
      </c>
      <c r="L33" s="44" t="inlineStr">
        <is>
          <t>PDTE</t>
        </is>
      </c>
      <c r="M33" s="46" t="n"/>
      <c r="N33" s="46" t="n"/>
      <c r="O33" s="44" t="inlineStr">
        <is>
          <t>ENA</t>
        </is>
      </c>
      <c r="P33" s="46" t="inlineStr">
        <is>
          <t>Proveedor permanece en listado; solo se elimina disponibilidad semanal.</t>
        </is>
      </c>
    </row>
    <row r="34" ht="48" customHeight="1" s="35">
      <c r="A34" s="42" t="inlineStr">
        <is>
          <t>Sistema</t>
        </is>
      </c>
      <c r="B34" s="42" t="inlineStr">
        <is>
          <t>Administración</t>
        </is>
      </c>
      <c r="C34" s="42" t="inlineStr">
        <is>
          <t>Gestión Pacientes</t>
        </is>
      </c>
      <c r="D34" s="42" t="inlineStr">
        <is>
          <t>ADM-08</t>
        </is>
      </c>
      <c r="E34" s="42" t="inlineStr">
        <is>
          <t>Buscar paciente por nombre o documento desde el panel de Admin</t>
        </is>
      </c>
      <c r="F34" s="42" t="inlineStr">
        <is>
          <t>GET /api/admin/patients?term=Juan</t>
        </is>
      </c>
      <c r="G34" s="42" t="inlineStr">
        <is>
          <t>El sistema retorna lista de pacientes que coincidan con el término (nombre o documento). Incluye scheduledAppointmentsCount y hasUserAccount.</t>
        </is>
      </c>
      <c r="H34" s="42" t="inlineStr">
        <is>
          <t>Admin</t>
        </is>
      </c>
      <c r="I34" s="44" t="inlineStr">
        <is>
          <t>EA</t>
        </is>
      </c>
      <c r="J34" s="43" t="n"/>
      <c r="K34" s="43" t="inlineStr">
        <is>
          <t>Juan Felipe Ramirez</t>
        </is>
      </c>
      <c r="L34" s="44" t="inlineStr">
        <is>
          <t>PDTE</t>
        </is>
      </c>
      <c r="M34" s="43" t="n"/>
      <c r="N34" s="43" t="n"/>
      <c r="O34" s="44" t="inlineStr">
        <is>
          <t>EA</t>
        </is>
      </c>
      <c r="P34" s="43" t="n"/>
    </row>
    <row r="35" ht="48" customHeight="1" s="35">
      <c r="A35" s="45" t="inlineStr">
        <is>
          <t>Sistema</t>
        </is>
      </c>
      <c r="B35" s="45" t="inlineStr">
        <is>
          <t>Administración</t>
        </is>
      </c>
      <c r="C35" s="45" t="inlineStr">
        <is>
          <t>Gestión Pacientes</t>
        </is>
      </c>
      <c r="D35" s="45" t="inlineStr">
        <is>
          <t>ADM-09</t>
        </is>
      </c>
      <c r="E35" s="45" t="inlineStr">
        <is>
          <t>Corregir el número de teléfono de un paciente desde Admin</t>
        </is>
      </c>
      <c r="F35" s="45" t="inlineStr">
        <is>
          <t>PUT /api/admin/patients/{patientId} con datos actualizados</t>
        </is>
      </c>
      <c r="G35" s="45" t="inlineStr">
        <is>
          <t>El sistema retorna 200 OK con PatientLookupResponse actualizado. Los cambios son inmediatos en BD.</t>
        </is>
      </c>
      <c r="H35" s="45" t="inlineStr">
        <is>
          <t>Admin</t>
        </is>
      </c>
      <c r="I35" s="44" t="inlineStr">
        <is>
          <t>EA</t>
        </is>
      </c>
      <c r="J35" s="46" t="n"/>
      <c r="K35" s="46" t="inlineStr">
        <is>
          <t>Juan Felipe Ramirez</t>
        </is>
      </c>
      <c r="L35" s="44" t="inlineStr">
        <is>
          <t>PDTE</t>
        </is>
      </c>
      <c r="M35" s="46" t="n"/>
      <c r="N35" s="46" t="n"/>
      <c r="O35" s="44" t="inlineStr">
        <is>
          <t>EA</t>
        </is>
      </c>
      <c r="P35" s="46" t="n"/>
    </row>
    <row r="36" ht="48" customHeight="1" s="35">
      <c r="A36" s="42" t="inlineStr">
        <is>
          <t>Sistema</t>
        </is>
      </c>
      <c r="B36" s="42" t="inlineStr">
        <is>
          <t>Administración</t>
        </is>
      </c>
      <c r="C36" s="42" t="inlineStr">
        <is>
          <t>Control de Acceso</t>
        </is>
      </c>
      <c r="D36" s="42" t="inlineStr">
        <is>
          <t>ADM-10</t>
        </is>
      </c>
      <c r="E36" s="42" t="inlineStr">
        <is>
          <t>Intentar que un Scheduler acceda a endpoints exclusivos de Admin</t>
        </is>
      </c>
      <c r="F36" s="42" t="inlineStr">
        <is>
          <t>El actor Scheduler intenta DELETE /api/admin/provider-schedules/{id}</t>
        </is>
      </c>
      <c r="G36" s="42" t="inlineStr">
        <is>
          <t>El sistema retorna 403 Forbidden. El proveedor no es eliminado.</t>
        </is>
      </c>
      <c r="H36" s="42" t="inlineStr">
        <is>
          <t>Scheduler</t>
        </is>
      </c>
      <c r="I36" s="44" t="inlineStr">
        <is>
          <t>EA</t>
        </is>
      </c>
      <c r="J36" s="43" t="n"/>
      <c r="K36" s="43" t="inlineStr">
        <is>
          <t>Juan Felipe Ramirez</t>
        </is>
      </c>
      <c r="L36" s="44" t="inlineStr">
        <is>
          <t>PDTE</t>
        </is>
      </c>
      <c r="M36" s="43" t="n"/>
      <c r="N36" s="43" t="n"/>
      <c r="O36" s="44" t="inlineStr">
        <is>
          <t>EA</t>
        </is>
      </c>
      <c r="P36" s="43" t="n"/>
    </row>
  </sheetData>
  <mergeCells count="1">
    <mergeCell ref="A1:P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4" min="1" max="1"/>
    <col width="10" customWidth="1" style="34" min="2" max="2"/>
    <col width="60" customWidth="1" style="34" min="3" max="3"/>
    <col width="16" customWidth="1" style="34" min="4" max="5"/>
    <col width="28" customWidth="1" style="34" min="6" max="6"/>
    <col width="10" customWidth="1" style="34" min="7" max="7"/>
    <col width="16" customWidth="1" style="34" min="8" max="8"/>
  </cols>
  <sheetData>
    <row r="1" ht="15" customHeight="1" s="35">
      <c r="A1" s="49" t="inlineStr">
        <is>
          <t>Incidencias en Validación – Piedrazul</t>
        </is>
      </c>
    </row>
    <row r="2" ht="31.5" customHeight="1" s="35">
      <c r="A2" s="41" t="inlineStr">
        <is>
          <t>Módulo</t>
        </is>
      </c>
      <c r="B2" s="41" t="inlineStr">
        <is>
          <t>ID Caso</t>
        </is>
      </c>
      <c r="C2" s="41" t="inlineStr">
        <is>
          <t>Descripción NC (DONDE/CUANDO/HALLAZGO/SE ESPERA)</t>
        </is>
      </c>
      <c r="D2" s="41" t="inlineStr">
        <is>
          <t>Clasificación NC</t>
        </is>
      </c>
      <c r="E2" s="41" t="inlineStr">
        <is>
          <t>ID Jira</t>
        </is>
      </c>
      <c r="F2" s="41" t="inlineStr">
        <is>
          <t>Observación</t>
        </is>
      </c>
      <c r="G2" s="41" t="inlineStr">
        <is>
          <t>Iteración</t>
        </is>
      </c>
      <c r="H2" s="41" t="inlineStr">
        <is>
          <t>Responsable</t>
        </is>
      </c>
    </row>
    <row r="3" ht="15" customHeight="1" s="35">
      <c r="C3" s="65" t="inlineStr">
        <is>
          <t>(Registrar las NC de validación aquí)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4" min="1" max="1"/>
    <col width="12" customWidth="1" style="34" min="2" max="2"/>
    <col width="10" customWidth="1" style="34" min="3" max="7"/>
    <col width="12" customWidth="1" style="34" min="8" max="8"/>
    <col width="10" customWidth="1" style="34" min="9" max="11"/>
    <col width="12" customWidth="1" style="34" min="12" max="14"/>
  </cols>
  <sheetData>
    <row r="1" ht="15" customHeight="1" s="35">
      <c r="A1" s="49" t="inlineStr">
        <is>
          <t>Informe de Resultados de Validación – Piedrazul</t>
        </is>
      </c>
    </row>
    <row r="2" ht="27.75" customHeight="1" s="35">
      <c r="A2" s="41" t="inlineStr">
        <is>
          <t>Módulo/Submódulo</t>
        </is>
      </c>
      <c r="B2" s="41" t="inlineStr">
        <is>
          <t>Req. Prueba</t>
        </is>
      </c>
      <c r="C2" s="41" t="inlineStr">
        <is>
          <t>Bloqueante</t>
        </is>
      </c>
      <c r="D2" s="41" t="inlineStr">
        <is>
          <t>Crítica</t>
        </is>
      </c>
      <c r="E2" s="41" t="inlineStr">
        <is>
          <t>Mayor</t>
        </is>
      </c>
      <c r="F2" s="41" t="inlineStr">
        <is>
          <t>Menor</t>
        </is>
      </c>
      <c r="G2" s="41" t="inlineStr">
        <is>
          <t>Trivial</t>
        </is>
      </c>
      <c r="H2" s="41" t="inlineStr">
        <is>
          <t>Ejecutados</t>
        </is>
      </c>
      <c r="I2" s="41" t="inlineStr">
        <is>
          <t>EA</t>
        </is>
      </c>
      <c r="J2" s="41" t="inlineStr">
        <is>
          <t>ENA</t>
        </is>
      </c>
      <c r="K2" s="41" t="inlineStr">
        <is>
          <t>PDTE</t>
        </is>
      </c>
      <c r="L2" s="41" t="inlineStr">
        <is>
          <t>Correctitud</t>
        </is>
      </c>
      <c r="M2" s="41" t="inlineStr">
        <is>
          <t>Densidad NC</t>
        </is>
      </c>
      <c r="N2" s="41" t="inlineStr">
        <is>
          <t>Confiabilidad</t>
        </is>
      </c>
    </row>
    <row r="3" ht="18" customHeight="1" s="35">
      <c r="A3" s="45" t="inlineStr">
        <is>
          <t>Portal Público</t>
        </is>
      </c>
      <c r="B3" s="46" t="n">
        <v>9</v>
      </c>
      <c r="C3" s="46" t="n">
        <v>0</v>
      </c>
      <c r="D3" s="46" t="n">
        <v>0</v>
      </c>
      <c r="E3" s="46" t="n">
        <v>0</v>
      </c>
      <c r="F3" s="46" t="n">
        <v>0</v>
      </c>
      <c r="G3" s="46" t="n">
        <v>0</v>
      </c>
      <c r="H3" s="46" t="n">
        <v>9</v>
      </c>
      <c r="I3" s="46" t="n">
        <v>7</v>
      </c>
      <c r="J3" s="46" t="n">
        <v>2</v>
      </c>
      <c r="K3" s="46" t="n">
        <v>0</v>
      </c>
      <c r="L3" s="66">
        <f>IF(H3=0,0,I3/H3)</f>
        <v/>
      </c>
      <c r="M3" s="66">
        <f>IF(H3=0,0,J3/H3)</f>
        <v/>
      </c>
      <c r="N3" s="66">
        <f>1-M3</f>
        <v/>
      </c>
    </row>
    <row r="4" ht="18" customHeight="1" s="35">
      <c r="A4" s="42" t="inlineStr">
        <is>
          <t>Autenticación</t>
        </is>
      </c>
      <c r="B4" s="43" t="n">
        <v>8</v>
      </c>
      <c r="C4" s="43" t="n">
        <v>0</v>
      </c>
      <c r="D4" s="43" t="n">
        <v>0</v>
      </c>
      <c r="E4" s="43" t="n">
        <v>0</v>
      </c>
      <c r="F4" s="43" t="n">
        <v>0</v>
      </c>
      <c r="G4" s="43" t="n">
        <v>0</v>
      </c>
      <c r="H4" s="43" t="n">
        <v>8</v>
      </c>
      <c r="I4" s="43" t="n">
        <v>8</v>
      </c>
      <c r="J4" s="43" t="n">
        <v>0</v>
      </c>
      <c r="K4" s="43" t="n">
        <v>0</v>
      </c>
      <c r="L4" s="67">
        <f>IF(H4=0,0,I4/H4)</f>
        <v/>
      </c>
      <c r="M4" s="67">
        <f>IF(H4=0,0,J4/H4)</f>
        <v/>
      </c>
      <c r="N4" s="67">
        <f>1-M4</f>
        <v/>
      </c>
    </row>
    <row r="5" ht="18" customHeight="1" s="35">
      <c r="A5" s="45" t="inlineStr">
        <is>
          <t>Portal Paciente</t>
        </is>
      </c>
      <c r="B5" s="46" t="n">
        <v>6</v>
      </c>
      <c r="C5" s="46" t="n">
        <v>0</v>
      </c>
      <c r="D5" s="46" t="n">
        <v>0</v>
      </c>
      <c r="E5" s="46" t="n">
        <v>0</v>
      </c>
      <c r="F5" s="46" t="n">
        <v>0</v>
      </c>
      <c r="G5" s="46" t="n">
        <v>0</v>
      </c>
      <c r="H5" s="46" t="n">
        <v>6</v>
      </c>
      <c r="I5" s="46" t="n">
        <v>5</v>
      </c>
      <c r="J5" s="46" t="n">
        <v>1</v>
      </c>
      <c r="K5" s="46" t="n">
        <v>0</v>
      </c>
      <c r="L5" s="66">
        <f>IF(H5=0,0,I5/H5)</f>
        <v/>
      </c>
      <c r="M5" s="66">
        <f>IF(H5=0,0,J5/H5)</f>
        <v/>
      </c>
      <c r="N5" s="66">
        <f>1-M5</f>
        <v/>
      </c>
    </row>
    <row r="6" ht="18" customHeight="1" s="35">
      <c r="A6" s="42" t="inlineStr">
        <is>
          <t>Portal Interno</t>
        </is>
      </c>
      <c r="B6" s="43" t="n">
        <v>12</v>
      </c>
      <c r="C6" s="43" t="n">
        <v>0</v>
      </c>
      <c r="D6" s="43" t="n">
        <v>0</v>
      </c>
      <c r="E6" s="43" t="n">
        <v>0</v>
      </c>
      <c r="F6" s="43" t="n">
        <v>0</v>
      </c>
      <c r="G6" s="43" t="n">
        <v>0</v>
      </c>
      <c r="H6" s="43" t="n">
        <v>12</v>
      </c>
      <c r="I6" s="43" t="n">
        <v>11</v>
      </c>
      <c r="J6" s="43" t="n">
        <v>1</v>
      </c>
      <c r="K6" s="43" t="n">
        <v>0</v>
      </c>
      <c r="L6" s="67">
        <f>IF(H6=0,0,I6/H6)</f>
        <v/>
      </c>
      <c r="M6" s="67">
        <f>IF(H6=0,0,J6/H6)</f>
        <v/>
      </c>
      <c r="N6" s="67">
        <f>1-M6</f>
        <v/>
      </c>
    </row>
    <row r="7" ht="18" customHeight="1" s="35">
      <c r="A7" s="45" t="inlineStr">
        <is>
          <t>Administración</t>
        </is>
      </c>
      <c r="B7" s="46" t="n">
        <v>10</v>
      </c>
      <c r="C7" s="46" t="n">
        <v>0</v>
      </c>
      <c r="D7" s="46" t="n">
        <v>0</v>
      </c>
      <c r="E7" s="46" t="n">
        <v>0</v>
      </c>
      <c r="F7" s="46" t="n">
        <v>0</v>
      </c>
      <c r="G7" s="46" t="n">
        <v>0</v>
      </c>
      <c r="H7" s="46" t="n">
        <v>10</v>
      </c>
      <c r="I7" s="46" t="n">
        <v>9</v>
      </c>
      <c r="J7" s="46" t="n">
        <v>1</v>
      </c>
      <c r="K7" s="46" t="n">
        <v>0</v>
      </c>
      <c r="L7" s="66">
        <f>IF(H7=0,0,I7/H7)</f>
        <v/>
      </c>
      <c r="M7" s="66">
        <f>IF(H7=0,0,J7/H7)</f>
        <v/>
      </c>
      <c r="N7" s="66">
        <f>1-M7</f>
        <v/>
      </c>
    </row>
    <row r="8" ht="15" customHeight="1" s="35">
      <c r="A8" s="57" t="inlineStr">
        <is>
          <t>TOTAL</t>
        </is>
      </c>
      <c r="B8" s="64">
        <f>SUM(B3:B7)</f>
        <v/>
      </c>
      <c r="C8" s="64">
        <f>SUM(C3:C7)</f>
        <v/>
      </c>
      <c r="D8" s="64">
        <f>SUM(D3:D7)</f>
        <v/>
      </c>
      <c r="E8" s="64">
        <f>SUM(E3:E7)</f>
        <v/>
      </c>
      <c r="F8" s="64">
        <f>SUM(F3:F7)</f>
        <v/>
      </c>
      <c r="G8" s="64">
        <f>SUM(G3:G7)</f>
        <v/>
      </c>
      <c r="H8" s="64">
        <f>SUM(H3:H7)</f>
        <v/>
      </c>
      <c r="I8" s="64">
        <f>SUM(I3:I7)</f>
        <v/>
      </c>
      <c r="J8" s="64">
        <f>SUM(J3:J7)</f>
        <v/>
      </c>
      <c r="K8" s="64">
        <f>SUM(K3:K7)</f>
        <v/>
      </c>
      <c r="L8" s="68">
        <f>IF(H8=0,0,I8/H8)</f>
        <v/>
      </c>
      <c r="M8" s="68">
        <f>IF(H8=0,0,J8/H8)</f>
        <v/>
      </c>
      <c r="N8" s="68">
        <f>1-M8</f>
        <v/>
      </c>
    </row>
    <row r="10">
      <c r="A10" t="inlineStr">
        <is>
          <t>Resumen validacion (1a iteracion)</t>
        </is>
      </c>
    </row>
    <row r="11">
      <c r="A11" t="inlineStr">
        <is>
          <t>Ejecuta</t>
        </is>
      </c>
      <c r="B11" t="inlineStr">
        <is>
          <t>Juan Felipe Ramirez</t>
        </is>
      </c>
      <c r="C11" t="inlineStr">
        <is>
          <t>Fecha</t>
        </is>
      </c>
      <c r="D11" t="inlineStr">
        <is>
          <t>2026-05-15</t>
        </is>
      </c>
    </row>
    <row r="12">
      <c r="A12" t="inlineStr">
        <is>
          <t>Casos totales</t>
        </is>
      </c>
      <c r="B12" t="n">
        <v>45</v>
      </c>
    </row>
    <row r="13">
      <c r="A13" t="inlineStr">
        <is>
          <t>Ejecutados</t>
        </is>
      </c>
      <c r="B13" t="n">
        <v>45</v>
      </c>
    </row>
    <row r="14">
      <c r="A14" t="inlineStr">
        <is>
          <t>EA</t>
        </is>
      </c>
      <c r="B14" t="n">
        <v>40</v>
      </c>
    </row>
    <row r="15">
      <c r="A15" t="inlineStr">
        <is>
          <t>ENA</t>
        </is>
      </c>
      <c r="B15" t="n">
        <v>5</v>
      </c>
    </row>
    <row r="16">
      <c r="A16" t="inlineStr">
        <is>
          <t>PDTE</t>
        </is>
      </c>
      <c r="B16" t="n">
        <v>0</v>
      </c>
    </row>
    <row r="17">
      <c r="A17" t="inlineStr">
        <is>
          <t>Correctitud</t>
        </is>
      </c>
      <c r="B17" t="n">
        <v>0.8888888888888888</v>
      </c>
    </row>
    <row r="18">
      <c r="A18" t="inlineStr">
        <is>
          <t>Confiabilidad</t>
        </is>
      </c>
      <c r="B18" t="n">
        <v>0.8888888888888888</v>
      </c>
    </row>
    <row r="20">
      <c r="A20" t="inlineStr">
        <is>
          <t>ENA (casos)</t>
        </is>
      </c>
    </row>
    <row r="21">
      <c r="A21" t="inlineStr">
        <is>
          <t>PUB-06</t>
        </is>
      </c>
      <c r="B21" t="inlineStr">
        <is>
          <t>Reserva en slot ocupado responde 400 (esperado 409).</t>
        </is>
      </c>
    </row>
    <row r="22">
      <c r="A22" t="inlineStr">
        <is>
          <t>PUB-07</t>
        </is>
      </c>
      <c r="B22" t="inlineStr">
        <is>
          <t>Validacion responde 400 (esperado 422).</t>
        </is>
      </c>
    </row>
    <row r="23">
      <c r="A23" t="inlineStr">
        <is>
          <t>PAC-06</t>
        </is>
      </c>
      <c r="B23" t="inlineStr">
        <is>
          <t>Cancelacion de cita ajena responde 400 (esperado 403/404).</t>
        </is>
      </c>
    </row>
    <row r="24">
      <c r="A24" t="inlineStr">
        <is>
          <t>INT-11</t>
        </is>
      </c>
      <c r="B24" t="inlineStr">
        <is>
          <t>PDF sin citas responde 200 con archivo vacio (esperado 404).</t>
        </is>
      </c>
    </row>
    <row r="25">
      <c r="A25" t="inlineStr">
        <is>
          <t>ADM-07</t>
        </is>
      </c>
      <c r="B25" t="inlineStr">
        <is>
          <t>Proveedor permanece en listado; solo se elimina disponibilidad semanal.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2026-05-15T01:30:53Z</dcterms:created>
  <dcterms:modified xsi:type="dcterms:W3CDTF">2026-05-15T06:51:47Z</dcterms:modified>
  <cp:revision>0</cp:revision>
</cp:coreProperties>
</file>